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合計" sheetId="1" r:id="rId4"/>
    <sheet state="visible" name="【大井町】売上" sheetId="2" r:id="rId5"/>
    <sheet state="visible" name="シフト" sheetId="3" r:id="rId6"/>
    <sheet state="visible" name="【蒲田】売上" sheetId="4" r:id="rId7"/>
    <sheet state="visible" name="シフト2" sheetId="5" r:id="rId8"/>
    <sheet state="visible" name="【巣鴨】売上" sheetId="6" r:id="rId9"/>
    <sheet state="visible" name="シフト3" sheetId="7" r:id="rId10"/>
    <sheet state="visible" name="管理シフト" sheetId="8" r:id="rId11"/>
    <sheet state="visible" name="個人情報" sheetId="9" r:id="rId12"/>
    <sheet state="visible" name="セラピスト巣鴨PS管理" sheetId="10" r:id="rId13"/>
    <sheet state="visible" name="物件情報" sheetId="11" r:id="rId14"/>
  </sheets>
  <definedNames>
    <definedName hidden="1" localSheetId="7" name="_xlnm._FilterDatabase">'管理シフト'!$A$1:$Q$979</definedName>
  </definedNames>
  <calcPr/>
  <extLst>
    <ext uri="GoogleSheetsCustomDataVersion2">
      <go:sheetsCustomData xmlns:go="http://customooxmlschemas.google.com/" r:id="rId15" roundtripDataChecksum="vMFQ2Wx31fgj1QZCU7TxwDfzqngEMDIuo37hAvZQLtc="/>
    </ext>
  </extLst>
</workbook>
</file>

<file path=xl/sharedStrings.xml><?xml version="1.0" encoding="utf-8"?>
<sst xmlns="http://schemas.openxmlformats.org/spreadsheetml/2006/main" count="1500" uniqueCount="294">
  <si>
    <t>日時</t>
  </si>
  <si>
    <t>曜日</t>
  </si>
  <si>
    <t>実績</t>
  </si>
  <si>
    <t>取り分</t>
  </si>
  <si>
    <t>粗利</t>
  </si>
  <si>
    <t>実績累計</t>
  </si>
  <si>
    <t>予算</t>
  </si>
  <si>
    <t>予算累計</t>
  </si>
  <si>
    <t>差異</t>
  </si>
  <si>
    <t>1日粗利単価</t>
  </si>
  <si>
    <t>月合計</t>
  </si>
  <si>
    <t>進捗</t>
  </si>
  <si>
    <t>客単価</t>
  </si>
  <si>
    <t>新規</t>
  </si>
  <si>
    <t>顧客</t>
  </si>
  <si>
    <t>指名</t>
  </si>
  <si>
    <t>日</t>
  </si>
  <si>
    <t>月</t>
  </si>
  <si>
    <t>火</t>
  </si>
  <si>
    <t>水</t>
  </si>
  <si>
    <t>木</t>
  </si>
  <si>
    <t>金</t>
  </si>
  <si>
    <t>土</t>
  </si>
  <si>
    <t xml:space="preserve"> エステムプラザ501</t>
  </si>
  <si>
    <t>スカイコート806</t>
  </si>
  <si>
    <t>売上</t>
  </si>
  <si>
    <t>早番</t>
  </si>
  <si>
    <t>新規/顧客/指名</t>
  </si>
  <si>
    <t>遅番</t>
  </si>
  <si>
    <t>8番</t>
  </si>
  <si>
    <t>エルデューチェ303</t>
  </si>
  <si>
    <t>レジディア1001</t>
  </si>
  <si>
    <t>x</t>
  </si>
  <si>
    <t>--</t>
  </si>
  <si>
    <t>XEBEC巣鴨203</t>
  </si>
  <si>
    <t>スパ・ラウンジ大井町</t>
  </si>
  <si>
    <t>ザ・リッツ蒲田</t>
  </si>
  <si>
    <t>日付</t>
  </si>
  <si>
    <t>早・遅</t>
  </si>
  <si>
    <t>エステムプラザ５０１</t>
  </si>
  <si>
    <t>スカイコート８０６</t>
  </si>
  <si>
    <t>エルドゥーチェ３０３</t>
  </si>
  <si>
    <t>レジディア１００１</t>
  </si>
  <si>
    <t>メインステージ巣鴨404</t>
  </si>
  <si>
    <t>31</t>
  </si>
  <si>
    <t>えみり</t>
  </si>
  <si>
    <t>１１−１８</t>
  </si>
  <si>
    <t>みこ</t>
  </si>
  <si>
    <t>１１−１７</t>
  </si>
  <si>
    <t>やすの</t>
  </si>
  <si>
    <t>まな</t>
  </si>
  <si>
    <t>１２−２２</t>
  </si>
  <si>
    <t>てるみ</t>
  </si>
  <si>
    <t>１２−２０</t>
  </si>
  <si>
    <t>しおん</t>
  </si>
  <si>
    <t>１９−２８</t>
  </si>
  <si>
    <t>あんず</t>
  </si>
  <si>
    <t>１８−２３</t>
  </si>
  <si>
    <t>ののは</t>
  </si>
  <si>
    <t>ののはダミー</t>
  </si>
  <si>
    <t>ゆかり</t>
  </si>
  <si>
    <t>かずは</t>
  </si>
  <si>
    <t>１３－１８</t>
  </si>
  <si>
    <t>ちひろ</t>
  </si>
  <si>
    <t>１１.５−１７</t>
  </si>
  <si>
    <t>南さなダミー</t>
  </si>
  <si>
    <t>すみれ</t>
  </si>
  <si>
    <t>１３−２８</t>
  </si>
  <si>
    <t>えりか</t>
  </si>
  <si>
    <t>２１−２８</t>
  </si>
  <si>
    <t>ひより</t>
  </si>
  <si>
    <t>１２−１７</t>
  </si>
  <si>
    <t>ますみ</t>
  </si>
  <si>
    <t>しのぶ</t>
  </si>
  <si>
    <t>１３−２６</t>
  </si>
  <si>
    <t>わかダミー</t>
  </si>
  <si>
    <t>ほのか</t>
  </si>
  <si>
    <t>２０－２７</t>
  </si>
  <si>
    <t>くれは</t>
  </si>
  <si>
    <t>１３−２２</t>
  </si>
  <si>
    <t>１２－２１</t>
  </si>
  <si>
    <t>さな南ダミー</t>
  </si>
  <si>
    <t>かすみ</t>
  </si>
  <si>
    <t>あかりダミー</t>
  </si>
  <si>
    <t>１８－２８</t>
  </si>
  <si>
    <t>１９−２６</t>
  </si>
  <si>
    <t>しずか</t>
  </si>
  <si>
    <t>１８−２８</t>
  </si>
  <si>
    <t>ちなつ</t>
  </si>
  <si>
    <t>１１－１８</t>
  </si>
  <si>
    <t>１８−２６</t>
  </si>
  <si>
    <t>１１−２７</t>
  </si>
  <si>
    <t>ちあき</t>
  </si>
  <si>
    <t>１６−２６</t>
  </si>
  <si>
    <t>くみ</t>
  </si>
  <si>
    <t>１２−１８</t>
  </si>
  <si>
    <t>１２−２１.５</t>
  </si>
  <si>
    <t>１１−１５.５</t>
  </si>
  <si>
    <t>わか</t>
  </si>
  <si>
    <t>１９−２５</t>
  </si>
  <si>
    <t>ゆい</t>
  </si>
  <si>
    <t>１３−２５</t>
  </si>
  <si>
    <t>１９－２３</t>
  </si>
  <si>
    <t>２０−２６</t>
  </si>
  <si>
    <t>セラピスト名</t>
  </si>
  <si>
    <t>ランク</t>
  </si>
  <si>
    <t>インターバル</t>
  </si>
  <si>
    <t>X</t>
  </si>
  <si>
    <t>店舗</t>
  </si>
  <si>
    <t>契約書</t>
  </si>
  <si>
    <t>部屋</t>
  </si>
  <si>
    <t>期日</t>
  </si>
  <si>
    <t>レギュラー</t>
  </si>
  <si>
    <t>あさみ</t>
  </si>
  <si>
    <t>B</t>
  </si>
  <si>
    <t>5店舗掛け持ち。掃除洗濯備品買い出し〇</t>
  </si>
  <si>
    <t>C</t>
  </si>
  <si>
    <t>掃除洗濯備品買い出し〇。本職あり　新人の後は入れない</t>
  </si>
  <si>
    <t>南</t>
  </si>
  <si>
    <t>SMS</t>
  </si>
  <si>
    <t>ルーム指定あり大井町スカイコートのみ。蒲田エルドゥーチェのみ。アスペルガー。方向音痴。本職あり</t>
  </si>
  <si>
    <t>NG</t>
  </si>
  <si>
    <t>掃除洗濯備品買い出し〇　現役針灸師。）</t>
  </si>
  <si>
    <t>彩華</t>
  </si>
  <si>
    <t>5店舗掛け持ち。洗濯掃除備品買い出し〇　スカイコート、レジディア優先</t>
  </si>
  <si>
    <t>春</t>
  </si>
  <si>
    <t>気が強いから注意。大井町リフレシュ掛け持ち。洗濯△備品買い出し〇。</t>
  </si>
  <si>
    <t>スカイコート1205NG、彩華の後はなし、</t>
  </si>
  <si>
    <t>5店舗掛け持ち。洗濯△掃除備品買い出し〇</t>
  </si>
  <si>
    <t>A</t>
  </si>
  <si>
    <t>彼氏の都合で休みがち</t>
  </si>
  <si>
    <t>まや</t>
  </si>
  <si>
    <t>エステ経験１７年、メンズエステ８年</t>
  </si>
  <si>
    <t>みち</t>
  </si>
  <si>
    <t>5店舗掛け持ち。洗濯掃除備品買い出し〇</t>
  </si>
  <si>
    <t>みい</t>
  </si>
  <si>
    <t xml:space="preserve">土井さんグループと掛け持ち　大井町のみ　話通じない　</t>
  </si>
  <si>
    <t>にな</t>
  </si>
  <si>
    <t>蒲田のみ、休みがち</t>
  </si>
  <si>
    <t>ゆあ</t>
  </si>
  <si>
    <t>5月中旬以降に海外旅行２週間程度</t>
  </si>
  <si>
    <t>蒲田のみ</t>
  </si>
  <si>
    <t>ゆめ</t>
  </si>
  <si>
    <t>大井町優先</t>
  </si>
  <si>
    <t>みゆか</t>
  </si>
  <si>
    <t>蒲田希望</t>
  </si>
  <si>
    <t>ゆうな</t>
  </si>
  <si>
    <t>掃除問題あり</t>
  </si>
  <si>
    <t>あいり</t>
  </si>
  <si>
    <t>大井町のみ(エステムプラザ優先）</t>
  </si>
  <si>
    <t>ゆりこ</t>
  </si>
  <si>
    <t>ワンルーム初めて</t>
  </si>
  <si>
    <t>さき</t>
  </si>
  <si>
    <t>かほ</t>
  </si>
  <si>
    <t>蒲田優先</t>
  </si>
  <si>
    <t>かえで</t>
  </si>
  <si>
    <t>蒲田</t>
  </si>
  <si>
    <t>さな</t>
  </si>
  <si>
    <t>あまね</t>
  </si>
  <si>
    <t>方向音痴</t>
  </si>
  <si>
    <t>りお</t>
  </si>
  <si>
    <t>出稼ぎ</t>
  </si>
  <si>
    <t>まなみ</t>
  </si>
  <si>
    <t>さくらこ</t>
  </si>
  <si>
    <t>準レギュラー</t>
  </si>
  <si>
    <t>月1回程度</t>
  </si>
  <si>
    <t>ここあ</t>
  </si>
  <si>
    <t>洗濯掃除できない（3回注意済）横浜接骨院勤務、巣鴨リスボアたまに出勤。愛が無い施術,　自己中,</t>
  </si>
  <si>
    <t>あさひ</t>
  </si>
  <si>
    <t>復帰,大井町のみ、リフレシュ掛け持ち</t>
  </si>
  <si>
    <t>もみじ</t>
  </si>
  <si>
    <t>未経験、土曜日のみ12-21</t>
  </si>
  <si>
    <t>なつみ</t>
  </si>
  <si>
    <t>看護士。蒲田在住。（あきさん崇拝者まだつながってます）</t>
  </si>
  <si>
    <t>はるみ</t>
  </si>
  <si>
    <t>既婚者１歳の子持ち。11-15</t>
  </si>
  <si>
    <t>ひびき</t>
  </si>
  <si>
    <t>なな</t>
  </si>
  <si>
    <t>福岡から出張の際に勤務</t>
  </si>
  <si>
    <t>さくら</t>
  </si>
  <si>
    <t>あみ</t>
  </si>
  <si>
    <t>つきみ</t>
  </si>
  <si>
    <t>ゆうか</t>
  </si>
  <si>
    <t>りな</t>
  </si>
  <si>
    <t>退店・３ヶ月以上連絡なし</t>
  </si>
  <si>
    <t>あん</t>
  </si>
  <si>
    <t>休</t>
  </si>
  <si>
    <t>連絡取れず（4/25現在）本職あり。骨折中</t>
  </si>
  <si>
    <t>あすか</t>
  </si>
  <si>
    <t>4/25退店</t>
  </si>
  <si>
    <t>蒲田店のみ、指圧の学校夕方～。12-16</t>
  </si>
  <si>
    <t>かおり</t>
  </si>
  <si>
    <t>4/29退店</t>
  </si>
  <si>
    <t>うた</t>
  </si>
  <si>
    <t>B＋</t>
  </si>
  <si>
    <t>指圧プロ</t>
  </si>
  <si>
    <t>まりな</t>
  </si>
  <si>
    <t>4/26退店</t>
  </si>
  <si>
    <t>未経験</t>
  </si>
  <si>
    <t>ゆき</t>
  </si>
  <si>
    <t>4/30退店</t>
  </si>
  <si>
    <t>現役エステシャン、蒲田店のみ</t>
  </si>
  <si>
    <t>れい</t>
  </si>
  <si>
    <t>退店4/30)</t>
  </si>
  <si>
    <t>大井町のみ。11-17</t>
  </si>
  <si>
    <t>みさき</t>
  </si>
  <si>
    <t>5/15退店</t>
  </si>
  <si>
    <t>ワンルーム怖い</t>
  </si>
  <si>
    <t>すず</t>
  </si>
  <si>
    <t>5/22退店</t>
  </si>
  <si>
    <t>メンヘラ</t>
  </si>
  <si>
    <t>B+</t>
  </si>
  <si>
    <t>かな</t>
  </si>
  <si>
    <t>9/30退店</t>
  </si>
  <si>
    <t>みう</t>
  </si>
  <si>
    <t>りか</t>
  </si>
  <si>
    <t>ゆら</t>
  </si>
  <si>
    <t>れいな</t>
  </si>
  <si>
    <t>しず</t>
  </si>
  <si>
    <t>なの</t>
  </si>
  <si>
    <t>大井町のみ。土曜＆平日出勤。本職あり。</t>
  </si>
  <si>
    <t>りこ</t>
  </si>
  <si>
    <t>大井町のみ</t>
  </si>
  <si>
    <t>ありさ</t>
  </si>
  <si>
    <t>蒲田のみ。１１ー１４時半まで</t>
  </si>
  <si>
    <t>こころ</t>
  </si>
  <si>
    <t>家族の事情で休みがち</t>
  </si>
  <si>
    <t>もも</t>
  </si>
  <si>
    <t>元吉原風俗嬢</t>
  </si>
  <si>
    <t>めい</t>
  </si>
  <si>
    <t>29歳 　マッサージうまい</t>
  </si>
  <si>
    <t>巣鴨XEBEC203号室</t>
  </si>
  <si>
    <t>エルドゥーチェ303(蒲田)</t>
  </si>
  <si>
    <t>共通</t>
  </si>
  <si>
    <t>パスワード</t>
  </si>
  <si>
    <t>蒲田あんず</t>
  </si>
  <si>
    <t>巣鴨しのぶ</t>
  </si>
  <si>
    <t>ゆず</t>
  </si>
  <si>
    <t>蒲田ひより</t>
  </si>
  <si>
    <t>巣鴨まりえ</t>
  </si>
  <si>
    <t>蒲田なずな</t>
  </si>
  <si>
    <t>巣鴨蒲田てるみ</t>
  </si>
  <si>
    <t>Ｄ</t>
  </si>
  <si>
    <t>蒲田つぼみ</t>
  </si>
  <si>
    <t>巣鴨やすの</t>
  </si>
  <si>
    <t>なつめ</t>
  </si>
  <si>
    <t>E</t>
  </si>
  <si>
    <t>蒲田巣鴨ののは</t>
  </si>
  <si>
    <t>F</t>
  </si>
  <si>
    <t>蒲田巣鴨くれは</t>
  </si>
  <si>
    <t>あゆむ</t>
  </si>
  <si>
    <t>G</t>
  </si>
  <si>
    <t>蒲田巣鴨つむぎ</t>
  </si>
  <si>
    <t>H</t>
  </si>
  <si>
    <t>ここ</t>
  </si>
  <si>
    <t xml:space="preserve"> さな</t>
  </si>
  <si>
    <t>かりな</t>
  </si>
  <si>
    <t>りん</t>
  </si>
  <si>
    <t>いおり</t>
  </si>
  <si>
    <t>ことね</t>
  </si>
  <si>
    <t>れみ</t>
  </si>
  <si>
    <t>めぐみ</t>
  </si>
  <si>
    <t>あかり</t>
  </si>
  <si>
    <t>つぼみ</t>
  </si>
  <si>
    <t>まどか</t>
  </si>
  <si>
    <t>なぎさ</t>
  </si>
  <si>
    <t>新人(A)</t>
  </si>
  <si>
    <t>しょうこ</t>
  </si>
  <si>
    <t>新人(B)</t>
  </si>
  <si>
    <t>緊急</t>
  </si>
  <si>
    <t>新人C</t>
  </si>
  <si>
    <t>使用❌</t>
  </si>
  <si>
    <t>マンション名</t>
  </si>
  <si>
    <t>住所</t>
  </si>
  <si>
    <t>電気</t>
  </si>
  <si>
    <t>ガス</t>
  </si>
  <si>
    <t>水道</t>
  </si>
  <si>
    <t>Wi-Fi</t>
  </si>
  <si>
    <t>スカイコート品川仙台坂 806</t>
  </si>
  <si>
    <t>〒140-0011 東京都品川区東大井５丁目26-23</t>
  </si>
  <si>
    <t>アプリ登録済み</t>
  </si>
  <si>
    <t>11/19クレジット申請</t>
  </si>
  <si>
    <t>エステムプラザ品川アーバンヒルズ 501</t>
  </si>
  <si>
    <t>〒140-0014 東京都品川区大井１丁目４２−７</t>
  </si>
  <si>
    <t>レジディア蒲田Ⅱ1001</t>
  </si>
  <si>
    <t>〒144-0052 東京都大田区蒲田５丁目４５−１１</t>
  </si>
  <si>
    <t>エル・ドゥーチェ蒲田 303</t>
  </si>
  <si>
    <t>〒144-0052 東京都大田区蒲田５丁目４８−５</t>
  </si>
  <si>
    <t>〒170-0002</t>
  </si>
  <si>
    <t>クレジット支払い</t>
  </si>
  <si>
    <t>東京都豊島区巣鴨1丁目10-9</t>
  </si>
  <si>
    <t>11/19登録</t>
  </si>
  <si>
    <t>けんた登録済み？</t>
  </si>
  <si>
    <t>東京都豊島区巣鴨2丁目16-3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</si>
</sst>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&quot;月&quot;d&quot;日&quot;"/>
    <numFmt numFmtId="165" formatCode="&quot;¥&quot;#,##0;[Red]&quot;¥&quot;\-#,##0"/>
    <numFmt numFmtId="166" formatCode="#,##0_ ;[Red]\-#,##0\ "/>
    <numFmt numFmtId="167" formatCode="yyyy/m/d"/>
    <numFmt numFmtId="168" formatCode="m/d"/>
    <numFmt numFmtId="169" formatCode="0.0%"/>
    <numFmt numFmtId="170" formatCode="m\-d"/>
  </numFmts>
  <fonts count="22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b/>
      <sz val="11.0"/>
      <color rgb="FF000000"/>
      <name val="Calibri"/>
    </font>
    <font/>
    <font>
      <sz val="9.0"/>
      <color theme="1"/>
      <name val="Calibri"/>
    </font>
    <font>
      <sz val="11.0"/>
      <color rgb="FF000000"/>
      <name val="Arial"/>
    </font>
    <font>
      <sz val="8.0"/>
      <color theme="1"/>
      <name val="Calibri"/>
    </font>
    <font>
      <b/>
      <sz val="11.0"/>
      <color theme="1"/>
      <name val="Calibri"/>
    </font>
    <font>
      <b/>
      <sz val="12.0"/>
      <color theme="1"/>
      <name val="MS PGothic"/>
    </font>
    <font>
      <b/>
      <sz val="16.0"/>
      <color rgb="FF00B050"/>
      <name val="Arial"/>
    </font>
    <font>
      <b/>
      <sz val="16.0"/>
      <color rgb="FF00B050"/>
      <name val="MS PGothic"/>
    </font>
    <font>
      <sz val="11.0"/>
      <color theme="1"/>
      <name val="Arial"/>
    </font>
    <font>
      <b/>
      <sz val="12.0"/>
      <color rgb="FF00B050"/>
      <name val="MS PGothic"/>
    </font>
    <font>
      <b/>
      <sz val="13.0"/>
      <color rgb="FFF1C232"/>
      <name val="Arial"/>
    </font>
    <font>
      <b/>
      <sz val="11.0"/>
      <color theme="1"/>
      <name val="MS PGothic"/>
    </font>
    <font>
      <b/>
      <color theme="1"/>
      <name val="Calibri"/>
    </font>
    <font>
      <b/>
      <sz val="11.0"/>
      <color theme="1"/>
      <name val="Arial"/>
    </font>
    <font>
      <sz val="11.0"/>
      <color theme="1"/>
      <name val="MS PGothic"/>
    </font>
    <font>
      <b/>
      <sz val="11.0"/>
      <color rgb="FF000000"/>
      <name val="MS PGothic"/>
    </font>
    <font>
      <sz val="7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4472C4"/>
      </top>
      <bottom style="double">
        <color rgb="FF4472C4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164" xfId="0" applyAlignment="1" applyBorder="1" applyFill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2" fillId="3" fontId="2" numFmtId="165" xfId="0" applyAlignment="1" applyBorder="1" applyFont="1" applyNumberFormat="1">
      <alignment horizontal="right" vertical="center"/>
    </xf>
    <xf borderId="1" fillId="3" fontId="1" numFmtId="165" xfId="0" applyAlignment="1" applyBorder="1" applyFont="1" applyNumberFormat="1">
      <alignment vertical="center"/>
    </xf>
    <xf borderId="1" fillId="3" fontId="1" numFmtId="9" xfId="0" applyAlignment="1" applyBorder="1" applyFont="1" applyNumberFormat="1">
      <alignment vertical="center"/>
    </xf>
    <xf borderId="1" fillId="3" fontId="1" numFmtId="165" xfId="0" applyAlignment="1" applyBorder="1" applyFont="1" applyNumberFormat="1">
      <alignment shrinkToFit="0" vertical="center" wrapText="1"/>
    </xf>
    <xf borderId="1" fillId="3" fontId="1" numFmtId="3" xfId="0" applyAlignment="1" applyBorder="1" applyFont="1" applyNumberFormat="1">
      <alignment vertical="center"/>
    </xf>
    <xf borderId="0" fillId="0" fontId="3" numFmtId="165" xfId="0" applyAlignment="1" applyFont="1" applyNumberFormat="1">
      <alignment vertical="center"/>
    </xf>
    <xf borderId="1" fillId="4" fontId="1" numFmtId="164" xfId="0" applyAlignment="1" applyBorder="1" applyFill="1" applyFont="1" applyNumberForma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2" fillId="4" fontId="2" numFmtId="165" xfId="0" applyAlignment="1" applyBorder="1" applyFont="1" applyNumberFormat="1">
      <alignment horizontal="right" vertical="center"/>
    </xf>
    <xf borderId="1" fillId="5" fontId="1" numFmtId="165" xfId="0" applyAlignment="1" applyBorder="1" applyFill="1" applyFont="1" applyNumberFormat="1">
      <alignment vertical="center"/>
    </xf>
    <xf borderId="1" fillId="5" fontId="1" numFmtId="9" xfId="0" applyAlignment="1" applyBorder="1" applyFont="1" applyNumberFormat="1">
      <alignment vertical="center"/>
    </xf>
    <xf borderId="1" fillId="5" fontId="1" numFmtId="165" xfId="0" applyAlignment="1" applyBorder="1" applyFont="1" applyNumberFormat="1">
      <alignment shrinkToFit="0" vertical="center" wrapText="1"/>
    </xf>
    <xf borderId="1" fillId="5" fontId="1" numFmtId="3" xfId="0" applyAlignment="1" applyBorder="1" applyFont="1" applyNumberFormat="1">
      <alignment vertical="center"/>
    </xf>
    <xf borderId="1" fillId="6" fontId="1" numFmtId="3" xfId="0" applyAlignment="1" applyBorder="1" applyFill="1" applyFont="1" applyNumberForma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vertical="center"/>
    </xf>
    <xf borderId="1" fillId="5" fontId="1" numFmtId="0" xfId="0" applyAlignment="1" applyBorder="1" applyFont="1">
      <alignment shrinkToFit="0" vertical="center" wrapText="1"/>
    </xf>
    <xf borderId="1" fillId="6" fontId="1" numFmtId="166" xfId="0" applyAlignment="1" applyBorder="1" applyFont="1" applyNumberFormat="1">
      <alignment vertical="center"/>
    </xf>
    <xf borderId="3" fillId="0" fontId="4" numFmtId="167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vertical="center"/>
    </xf>
    <xf borderId="0" fillId="0" fontId="1" numFmtId="165" xfId="0" applyAlignment="1" applyFont="1" applyNumberFormat="1">
      <alignment vertical="center"/>
    </xf>
    <xf borderId="3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vertical="center"/>
    </xf>
    <xf borderId="1" fillId="2" fontId="1" numFmtId="165" xfId="0" applyAlignment="1" applyBorder="1" applyFont="1" applyNumberFormat="1">
      <alignment horizontal="center" vertical="center"/>
    </xf>
    <xf borderId="1" fillId="4" fontId="2" numFmtId="168" xfId="0" applyAlignment="1" applyBorder="1" applyFont="1" applyNumberFormat="1">
      <alignment horizontal="right" readingOrder="0" shrinkToFit="0" vertical="center" wrapText="1"/>
    </xf>
    <xf borderId="4" fillId="4" fontId="2" numFmtId="0" xfId="0" applyAlignment="1" applyBorder="1" applyFont="1">
      <alignment shrinkToFit="0" vertical="center" wrapText="1"/>
    </xf>
    <xf borderId="1" fillId="4" fontId="1" numFmtId="165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1" fillId="4" fontId="2" numFmtId="168" xfId="0" applyAlignment="1" applyBorder="1" applyFont="1" applyNumberFormat="1">
      <alignment horizontal="right" shrinkToFit="0" vertical="center" wrapText="1"/>
    </xf>
    <xf borderId="2" fillId="0" fontId="2" numFmtId="0" xfId="0" applyAlignment="1" applyBorder="1" applyFont="1">
      <alignment vertical="center"/>
    </xf>
    <xf borderId="1" fillId="5" fontId="1" numFmtId="166" xfId="0" applyAlignment="1" applyBorder="1" applyFont="1" applyNumberFormat="1">
      <alignment vertical="center"/>
    </xf>
    <xf borderId="0" fillId="0" fontId="1" numFmtId="0" xfId="0" applyAlignment="1" applyFont="1">
      <alignment horizontal="left" vertical="center"/>
    </xf>
    <xf borderId="4" fillId="0" fontId="2" numFmtId="0" xfId="0" applyAlignment="1" applyBorder="1" applyFont="1">
      <alignment shrinkToFit="0" vertical="center" wrapText="1"/>
    </xf>
    <xf borderId="0" fillId="0" fontId="3" numFmtId="169" xfId="0" applyAlignment="1" applyFont="1" applyNumberFormat="1">
      <alignment vertical="center"/>
    </xf>
    <xf borderId="0" fillId="4" fontId="1" numFmtId="167" xfId="0" applyAlignment="1" applyFont="1" applyNumberFormat="1">
      <alignment vertical="center"/>
    </xf>
    <xf borderId="0" fillId="4" fontId="3" numFmtId="0" xfId="0" applyAlignment="1" applyFont="1">
      <alignment vertical="center"/>
    </xf>
    <xf borderId="5" fillId="4" fontId="4" numFmtId="0" xfId="0" applyAlignment="1" applyBorder="1" applyFont="1">
      <alignment vertical="center"/>
    </xf>
    <xf borderId="0" fillId="4" fontId="4" numFmtId="0" xfId="0" applyAlignment="1" applyFont="1">
      <alignment vertical="center"/>
    </xf>
    <xf borderId="6" fillId="4" fontId="1" numFmtId="0" xfId="0" applyAlignment="1" applyBorder="1" applyFont="1">
      <alignment vertical="center"/>
    </xf>
    <xf borderId="7" fillId="4" fontId="2" numFmtId="0" xfId="0" applyAlignment="1" applyBorder="1" applyFont="1">
      <alignment horizontal="center" vertical="center"/>
    </xf>
    <xf borderId="8" fillId="4" fontId="4" numFmtId="0" xfId="0" applyAlignment="1" applyBorder="1" applyFont="1">
      <alignment vertical="center"/>
    </xf>
    <xf borderId="1" fillId="3" fontId="2" numFmtId="49" xfId="0" applyAlignment="1" applyBorder="1" applyFont="1" applyNumberFormat="1">
      <alignment vertical="center"/>
    </xf>
    <xf borderId="1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10" fillId="3" fontId="1" numFmtId="0" xfId="0" applyAlignment="1" applyBorder="1" applyFont="1">
      <alignment vertical="center"/>
    </xf>
    <xf borderId="11" fillId="3" fontId="2" numFmtId="0" xfId="0" applyAlignment="1" applyBorder="1" applyFont="1">
      <alignment vertical="center"/>
    </xf>
    <xf borderId="11" fillId="4" fontId="1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14" fillId="3" fontId="2" numFmtId="0" xfId="0" applyAlignment="1" applyBorder="1" applyFont="1">
      <alignment vertical="center"/>
    </xf>
    <xf borderId="15" fillId="3" fontId="2" numFmtId="0" xfId="0" applyAlignment="1" applyBorder="1" applyFont="1">
      <alignment vertical="center"/>
    </xf>
    <xf borderId="16" fillId="3" fontId="2" numFmtId="0" xfId="0" applyAlignment="1" applyBorder="1" applyFont="1">
      <alignment vertical="center"/>
    </xf>
    <xf borderId="2" fillId="3" fontId="2" numFmtId="49" xfId="0" applyAlignment="1" applyBorder="1" applyFont="1" applyNumberFormat="1">
      <alignment vertical="center"/>
    </xf>
    <xf borderId="17" fillId="0" fontId="5" numFmtId="0" xfId="0" applyAlignment="1" applyBorder="1" applyFont="1">
      <alignment vertical="center"/>
    </xf>
    <xf borderId="18" fillId="0" fontId="5" numFmtId="0" xfId="0" applyAlignment="1" applyBorder="1" applyFont="1">
      <alignment vertical="center"/>
    </xf>
    <xf borderId="19" fillId="4" fontId="2" numFmtId="0" xfId="0" applyAlignment="1" applyBorder="1" applyFont="1">
      <alignment vertical="center"/>
    </xf>
    <xf borderId="20" fillId="3" fontId="2" numFmtId="0" xfId="0" applyAlignment="1" applyBorder="1" applyFont="1">
      <alignment vertical="center"/>
    </xf>
    <xf borderId="21" fillId="3" fontId="1" numFmtId="0" xfId="0" applyAlignment="1" applyBorder="1" applyFont="1">
      <alignment vertical="center"/>
    </xf>
    <xf borderId="11" fillId="3" fontId="1" numFmtId="0" xfId="0" applyAlignment="1" applyBorder="1" applyFont="1">
      <alignment vertical="center"/>
    </xf>
    <xf borderId="11" fillId="3" fontId="4" numFmtId="0" xfId="0" applyAlignment="1" applyBorder="1" applyFont="1">
      <alignment vertical="center"/>
    </xf>
    <xf borderId="13" fillId="4" fontId="2" numFmtId="0" xfId="0" applyAlignment="1" applyBorder="1" applyFont="1">
      <alignment horizontal="center" vertical="center"/>
    </xf>
    <xf borderId="0" fillId="3" fontId="4" numFmtId="0" xfId="0" applyAlignment="1" applyFont="1">
      <alignment vertical="center"/>
    </xf>
    <xf borderId="8" fillId="3" fontId="4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0" fillId="3" fontId="3" numFmtId="0" xfId="0" applyAlignment="1" applyFont="1">
      <alignment vertical="center"/>
    </xf>
    <xf borderId="13" fillId="4" fontId="2" numFmtId="0" xfId="0" applyAlignment="1" applyBorder="1" applyFont="1">
      <alignment horizontal="center" shrinkToFit="0" vertical="center" wrapText="1"/>
    </xf>
    <xf borderId="1" fillId="4" fontId="2" numFmtId="49" xfId="0" applyAlignment="1" applyBorder="1" applyFont="1" applyNumberFormat="1">
      <alignment vertical="center"/>
    </xf>
    <xf borderId="14" fillId="4" fontId="2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11" fillId="4" fontId="2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9" fillId="4" fontId="1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16" fillId="4" fontId="2" numFmtId="0" xfId="0" applyAlignment="1" applyBorder="1" applyFont="1">
      <alignment vertical="center"/>
    </xf>
    <xf borderId="15" fillId="4" fontId="2" numFmtId="0" xfId="0" applyAlignment="1" applyBorder="1" applyFont="1">
      <alignment vertical="center"/>
    </xf>
    <xf borderId="2" fillId="4" fontId="2" numFmtId="49" xfId="0" applyAlignment="1" applyBorder="1" applyFont="1" applyNumberFormat="1">
      <alignment vertical="center"/>
    </xf>
    <xf borderId="2" fillId="4" fontId="2" numFmtId="0" xfId="0" applyAlignment="1" applyBorder="1" applyFont="1">
      <alignment vertical="center"/>
    </xf>
    <xf borderId="11" fillId="4" fontId="4" numFmtId="0" xfId="0" applyAlignment="1" applyBorder="1" applyFont="1">
      <alignment vertical="center"/>
    </xf>
    <xf borderId="21" fillId="4" fontId="1" numFmtId="0" xfId="0" applyAlignment="1" applyBorder="1" applyFont="1">
      <alignment vertical="center"/>
    </xf>
    <xf borderId="13" fillId="4" fontId="2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9" fillId="4" fontId="4" numFmtId="0" xfId="0" applyAlignment="1" applyBorder="1" applyFont="1">
      <alignment vertical="center"/>
    </xf>
    <xf borderId="11" fillId="7" fontId="1" numFmtId="0" xfId="0" applyAlignment="1" applyBorder="1" applyFill="1" applyFont="1">
      <alignment vertical="center"/>
    </xf>
    <xf borderId="3" fillId="0" fontId="4" numFmtId="167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4" fillId="4" fontId="2" numFmtId="165" xfId="0" applyAlignment="1" applyBorder="1" applyFont="1" applyNumberFormat="1">
      <alignment horizontal="right" vertical="center"/>
    </xf>
    <xf borderId="4" fillId="4" fontId="2" numFmtId="165" xfId="0" applyAlignment="1" applyBorder="1" applyFont="1" applyNumberFormat="1">
      <alignment horizontal="right" vertical="center"/>
    </xf>
    <xf borderId="0" fillId="0" fontId="2" numFmtId="0" xfId="0" applyAlignment="1" applyFont="1">
      <alignment vertical="center"/>
    </xf>
    <xf borderId="0" fillId="4" fontId="7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5" fillId="4" fontId="4" numFmtId="0" xfId="0" applyAlignment="1" applyBorder="1" applyFont="1">
      <alignment shrinkToFit="0" vertical="center" wrapText="1"/>
    </xf>
    <xf borderId="0" fillId="4" fontId="4" numFmtId="0" xfId="0" applyAlignment="1" applyFont="1">
      <alignment shrinkToFit="0" vertical="center" wrapText="1"/>
    </xf>
    <xf borderId="22" fillId="4" fontId="4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vertical="center"/>
    </xf>
    <xf borderId="23" fillId="3" fontId="4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9" fillId="3" fontId="2" numFmtId="0" xfId="0" applyAlignment="1" applyBorder="1" applyFont="1">
      <alignment vertical="center"/>
    </xf>
    <xf borderId="10" fillId="3" fontId="2" numFmtId="0" xfId="0" applyAlignment="1" applyBorder="1" applyFont="1">
      <alignment horizontal="right" vertical="center"/>
    </xf>
    <xf borderId="24" fillId="0" fontId="5" numFmtId="0" xfId="0" applyAlignment="1" applyBorder="1" applyFont="1">
      <alignment vertical="center"/>
    </xf>
    <xf borderId="2" fillId="3" fontId="8" numFmtId="0" xfId="0" applyAlignment="1" applyBorder="1" applyFont="1">
      <alignment vertical="center"/>
    </xf>
    <xf borderId="19" fillId="3" fontId="2" numFmtId="0" xfId="0" applyAlignment="1" applyBorder="1" applyFont="1">
      <alignment vertical="center"/>
    </xf>
    <xf borderId="25" fillId="3" fontId="2" numFmtId="0" xfId="0" applyAlignment="1" applyBorder="1" applyFont="1">
      <alignment vertical="center"/>
    </xf>
    <xf borderId="11" fillId="3" fontId="9" numFmtId="0" xfId="0" applyAlignment="1" applyBorder="1" applyFont="1">
      <alignment horizontal="right" vertical="center"/>
    </xf>
    <xf borderId="13" fillId="3" fontId="2" numFmtId="0" xfId="0" applyAlignment="1" applyBorder="1" applyFont="1">
      <alignment horizontal="center" vertical="center"/>
    </xf>
    <xf borderId="19" fillId="8" fontId="2" numFmtId="0" xfId="0" applyAlignment="1" applyBorder="1" applyFill="1" applyFont="1">
      <alignment vertical="center"/>
    </xf>
    <xf borderId="13" fillId="8" fontId="2" numFmtId="0" xfId="0" applyAlignment="1" applyBorder="1" applyFont="1">
      <alignment horizontal="center" vertical="center"/>
    </xf>
    <xf borderId="2" fillId="3" fontId="2" numFmtId="170" xfId="0" applyAlignment="1" applyBorder="1" applyFont="1" applyNumberFormat="1">
      <alignment vertical="center"/>
    </xf>
    <xf borderId="23" fillId="4" fontId="4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9" fillId="4" fontId="2" numFmtId="0" xfId="0" applyAlignment="1" applyBorder="1" applyFont="1">
      <alignment vertical="center"/>
    </xf>
    <xf borderId="10" fillId="4" fontId="2" numFmtId="0" xfId="0" applyAlignment="1" applyBorder="1" applyFont="1">
      <alignment horizontal="right" vertical="center"/>
    </xf>
    <xf borderId="2" fillId="4" fontId="8" numFmtId="0" xfId="0" applyAlignment="1" applyBorder="1" applyFont="1">
      <alignment vertical="center"/>
    </xf>
    <xf borderId="11" fillId="4" fontId="9" numFmtId="0" xfId="0" applyAlignment="1" applyBorder="1" applyFont="1">
      <alignment horizontal="right" vertical="center"/>
    </xf>
    <xf borderId="2" fillId="4" fontId="2" numFmtId="170" xfId="0" applyAlignment="1" applyBorder="1" applyFont="1" applyNumberFormat="1">
      <alignment vertical="center"/>
    </xf>
    <xf borderId="13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6" fillId="4" fontId="1" numFmtId="0" xfId="0" applyAlignment="1" applyBorder="1" applyFont="1">
      <alignment vertical="center"/>
    </xf>
    <xf borderId="0" fillId="4" fontId="10" numFmtId="49" xfId="0" applyAlignment="1" applyFont="1" applyNumberFormat="1">
      <alignment horizontal="center" vertical="bottom"/>
    </xf>
    <xf borderId="16" fillId="0" fontId="5" numFmtId="0" xfId="0" applyAlignment="1" applyBorder="1" applyFont="1">
      <alignment vertical="center"/>
    </xf>
    <xf borderId="20" fillId="4" fontId="2" numFmtId="0" xfId="0" applyAlignment="1" applyBorder="1" applyFont="1">
      <alignment vertical="center"/>
    </xf>
    <xf borderId="25" fillId="4" fontId="2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vertical="bottom"/>
    </xf>
    <xf borderId="0" fillId="0" fontId="14" numFmtId="49" xfId="0" applyAlignment="1" applyFont="1" applyNumberFormat="1">
      <alignment horizontal="center" vertical="center"/>
    </xf>
    <xf borderId="0" fillId="0" fontId="13" numFmtId="49" xfId="0" applyAlignment="1" applyFont="1" applyNumberFormat="1">
      <alignment vertical="bottom"/>
    </xf>
    <xf borderId="0" fillId="0" fontId="15" numFmtId="49" xfId="0" applyAlignment="1" applyFont="1" applyNumberFormat="1">
      <alignment horizontal="center" vertical="bottom"/>
    </xf>
    <xf borderId="27" fillId="4" fontId="16" numFmtId="49" xfId="0" applyAlignment="1" applyBorder="1" applyFont="1" applyNumberFormat="1">
      <alignment horizontal="right" vertical="bottom"/>
    </xf>
    <xf borderId="16" fillId="4" fontId="16" numFmtId="49" xfId="0" applyAlignment="1" applyBorder="1" applyFont="1" applyNumberFormat="1">
      <alignment horizontal="center" vertical="bottom"/>
    </xf>
    <xf borderId="0" fillId="9" fontId="10" numFmtId="49" xfId="0" applyAlignment="1" applyFill="1" applyFont="1" applyNumberFormat="1">
      <alignment horizontal="center" vertical="bottom"/>
    </xf>
    <xf borderId="28" fillId="10" fontId="13" numFmtId="49" xfId="0" applyAlignment="1" applyBorder="1" applyFill="1" applyFont="1" applyNumberFormat="1">
      <alignment vertical="bottom"/>
    </xf>
    <xf borderId="0" fillId="11" fontId="10" numFmtId="49" xfId="0" applyAlignment="1" applyFill="1" applyFont="1" applyNumberFormat="1">
      <alignment horizontal="center" vertical="bottom"/>
    </xf>
    <xf borderId="0" fillId="12" fontId="10" numFmtId="49" xfId="0" applyAlignment="1" applyFill="1" applyFont="1" applyNumberFormat="1">
      <alignment horizontal="center" vertical="bottom"/>
    </xf>
    <xf borderId="29" fillId="4" fontId="16" numFmtId="49" xfId="0" applyAlignment="1" applyBorder="1" applyFont="1" applyNumberFormat="1">
      <alignment horizontal="center" vertical="bottom"/>
    </xf>
    <xf borderId="16" fillId="4" fontId="17" numFmtId="49" xfId="0" applyAlignment="1" applyBorder="1" applyFont="1" applyNumberFormat="1">
      <alignment horizontal="center" vertical="center"/>
    </xf>
    <xf borderId="30" fillId="4" fontId="16" numFmtId="49" xfId="0" applyAlignment="1" applyBorder="1" applyFont="1" applyNumberFormat="1">
      <alignment vertical="bottom"/>
    </xf>
    <xf borderId="4" fillId="4" fontId="18" numFmtId="49" xfId="0" applyAlignment="1" applyBorder="1" applyFont="1" applyNumberFormat="1">
      <alignment horizontal="center" vertical="bottom"/>
    </xf>
    <xf borderId="31" fillId="10" fontId="2" numFmtId="49" xfId="0" applyAlignment="1" applyBorder="1" applyFont="1" applyNumberFormat="1">
      <alignment vertical="bottom"/>
    </xf>
    <xf borderId="4" fillId="4" fontId="2" numFmtId="49" xfId="0" applyAlignment="1" applyBorder="1" applyFont="1" applyNumberFormat="1">
      <alignment vertical="bottom"/>
    </xf>
    <xf borderId="31" fillId="10" fontId="2" numFmtId="49" xfId="0" applyAlignment="1" applyBorder="1" applyFont="1" applyNumberFormat="1">
      <alignment vertical="center"/>
    </xf>
    <xf borderId="1" fillId="4" fontId="2" numFmtId="49" xfId="0" applyAlignment="1" applyBorder="1" applyFont="1" applyNumberFormat="1">
      <alignment vertical="bottom"/>
    </xf>
    <xf borderId="31" fillId="4" fontId="2" numFmtId="49" xfId="0" applyAlignment="1" applyBorder="1" applyFont="1" applyNumberFormat="1">
      <alignment vertical="bottom"/>
    </xf>
    <xf borderId="0" fillId="4" fontId="2" numFmtId="49" xfId="0" applyAlignment="1" applyFont="1" applyNumberFormat="1">
      <alignment vertical="bottom"/>
    </xf>
    <xf borderId="2" fillId="4" fontId="3" numFmtId="0" xfId="0" applyAlignment="1" applyBorder="1" applyFont="1">
      <alignment vertical="center"/>
    </xf>
    <xf borderId="4" fillId="4" fontId="3" numFmtId="0" xfId="0" applyAlignment="1" applyBorder="1" applyFont="1">
      <alignment vertical="center"/>
    </xf>
    <xf borderId="32" fillId="13" fontId="2" numFmtId="49" xfId="0" applyAlignment="1" applyBorder="1" applyFill="1" applyFont="1" applyNumberFormat="1">
      <alignment vertical="bottom"/>
    </xf>
    <xf borderId="2" fillId="13" fontId="2" numFmtId="49" xfId="0" applyAlignment="1" applyBorder="1" applyFont="1" applyNumberFormat="1">
      <alignment vertical="center"/>
    </xf>
    <xf borderId="31" fillId="13" fontId="2" numFmtId="49" xfId="0" applyAlignment="1" applyBorder="1" applyFont="1" applyNumberFormat="1">
      <alignment vertical="bottom"/>
    </xf>
    <xf borderId="1" fillId="14" fontId="9" numFmtId="49" xfId="0" applyAlignment="1" applyBorder="1" applyFill="1" applyFont="1" applyNumberFormat="1">
      <alignment horizontal="center" vertical="bottom"/>
    </xf>
    <xf borderId="1" fillId="14" fontId="2" numFmtId="49" xfId="0" applyAlignment="1" applyBorder="1" applyFont="1" applyNumberFormat="1">
      <alignment vertical="bottom"/>
    </xf>
    <xf borderId="33" fillId="0" fontId="19" numFmtId="49" xfId="0" applyAlignment="1" applyBorder="1" applyFont="1" applyNumberFormat="1">
      <alignment horizontal="center" vertical="bottom"/>
    </xf>
    <xf borderId="27" fillId="4" fontId="18" numFmtId="49" xfId="0" applyAlignment="1" applyBorder="1" applyFont="1" applyNumberFormat="1">
      <alignment horizontal="center" vertical="center"/>
    </xf>
    <xf borderId="1" fillId="4" fontId="16" numFmtId="49" xfId="0" applyAlignment="1" applyBorder="1" applyFont="1" applyNumberFormat="1">
      <alignment horizontal="center" vertical="bottom"/>
    </xf>
    <xf borderId="1" fillId="4" fontId="9" numFmtId="49" xfId="0" applyAlignment="1" applyBorder="1" applyFont="1" applyNumberFormat="1">
      <alignment horizontal="center" vertical="bottom"/>
    </xf>
    <xf borderId="14" fillId="4" fontId="9" numFmtId="49" xfId="0" applyAlignment="1" applyBorder="1" applyFont="1" applyNumberFormat="1">
      <alignment horizontal="center" vertical="bottom"/>
    </xf>
    <xf borderId="14" fillId="13" fontId="2" numFmtId="49" xfId="0" applyAlignment="1" applyBorder="1" applyFont="1" applyNumberFormat="1">
      <alignment vertical="bottom"/>
    </xf>
    <xf borderId="14" fillId="4" fontId="2" numFmtId="49" xfId="0" applyAlignment="1" applyBorder="1" applyFont="1" applyNumberFormat="1">
      <alignment vertical="bottom"/>
    </xf>
    <xf borderId="1" fillId="13" fontId="2" numFmtId="49" xfId="0" applyAlignment="1" applyBorder="1" applyFont="1" applyNumberFormat="1">
      <alignment vertical="bottom"/>
    </xf>
    <xf borderId="2" fillId="0" fontId="3" numFmtId="0" xfId="0" applyAlignment="1" applyBorder="1" applyFont="1">
      <alignment vertical="center"/>
    </xf>
    <xf borderId="2" fillId="4" fontId="9" numFmtId="49" xfId="0" applyAlignment="1" applyBorder="1" applyFont="1" applyNumberFormat="1">
      <alignment horizontal="center" vertical="bottom"/>
    </xf>
    <xf borderId="4" fillId="4" fontId="9" numFmtId="49" xfId="0" applyAlignment="1" applyBorder="1" applyFont="1" applyNumberFormat="1">
      <alignment horizontal="center" vertical="bottom"/>
    </xf>
    <xf borderId="4" fillId="13" fontId="2" numFmtId="49" xfId="0" applyAlignment="1" applyBorder="1" applyFont="1" applyNumberFormat="1">
      <alignment vertical="bottom"/>
    </xf>
    <xf borderId="2" fillId="13" fontId="13" numFmtId="49" xfId="0" applyAlignment="1" applyBorder="1" applyFont="1" applyNumberFormat="1">
      <alignment horizontal="center" vertical="bottom"/>
    </xf>
    <xf borderId="32" fillId="13" fontId="13" numFmtId="49" xfId="0" applyAlignment="1" applyBorder="1" applyFont="1" applyNumberFormat="1">
      <alignment horizontal="center" vertical="bottom"/>
    </xf>
    <xf borderId="2" fillId="13" fontId="18" numFmtId="49" xfId="0" applyAlignment="1" applyBorder="1" applyFont="1" applyNumberFormat="1">
      <alignment horizontal="center" vertical="bottom"/>
    </xf>
    <xf borderId="2" fillId="14" fontId="2" numFmtId="49" xfId="0" applyAlignment="1" applyBorder="1" applyFont="1" applyNumberFormat="1">
      <alignment vertical="bottom"/>
    </xf>
    <xf borderId="4" fillId="14" fontId="2" numFmtId="49" xfId="0" applyAlignment="1" applyBorder="1" applyFont="1" applyNumberFormat="1">
      <alignment vertical="bottom"/>
    </xf>
    <xf borderId="27" fillId="4" fontId="16" numFmtId="49" xfId="0" applyAlignment="1" applyBorder="1" applyFont="1" applyNumberFormat="1">
      <alignment horizontal="center" vertical="bottom"/>
    </xf>
    <xf borderId="4" fillId="15" fontId="9" numFmtId="49" xfId="0" applyAlignment="1" applyBorder="1" applyFill="1" applyFont="1" applyNumberFormat="1">
      <alignment horizontal="center" readingOrder="0" vertical="bottom"/>
    </xf>
    <xf borderId="2" fillId="4" fontId="18" numFmtId="49" xfId="0" applyAlignment="1" applyBorder="1" applyFont="1" applyNumberFormat="1">
      <alignment horizontal="center" vertical="bottom"/>
    </xf>
    <xf borderId="27" fillId="4" fontId="20" numFmtId="49" xfId="0" applyAlignment="1" applyBorder="1" applyFont="1" applyNumberFormat="1">
      <alignment horizontal="center" vertical="bottom"/>
    </xf>
    <xf borderId="2" fillId="4" fontId="2" numFmtId="49" xfId="0" applyAlignment="1" applyBorder="1" applyFont="1" applyNumberFormat="1">
      <alignment vertical="bottom"/>
    </xf>
    <xf borderId="4" fillId="0" fontId="2" numFmtId="49" xfId="0" applyAlignment="1" applyBorder="1" applyFont="1" applyNumberFormat="1">
      <alignment vertical="bottom"/>
    </xf>
    <xf borderId="4" fillId="0" fontId="18" numFmtId="49" xfId="0" applyAlignment="1" applyBorder="1" applyFont="1" applyNumberFormat="1">
      <alignment horizontal="center" vertical="bottom"/>
    </xf>
    <xf borderId="4" fillId="4" fontId="9" numFmtId="49" xfId="0" applyAlignment="1" applyBorder="1" applyFont="1" applyNumberFormat="1">
      <alignment horizontal="center" readingOrder="0" vertical="bottom"/>
    </xf>
    <xf borderId="4" fillId="0" fontId="9" numFmtId="49" xfId="0" applyAlignment="1" applyBorder="1" applyFont="1" applyNumberFormat="1">
      <alignment horizontal="center" vertical="bottom"/>
    </xf>
    <xf borderId="2" fillId="13" fontId="2" numFmtId="49" xfId="0" applyAlignment="1" applyBorder="1" applyFont="1" applyNumberFormat="1">
      <alignment vertical="bottom"/>
    </xf>
    <xf borderId="20" fillId="13" fontId="2" numFmtId="49" xfId="0" applyAlignment="1" applyBorder="1" applyFont="1" applyNumberFormat="1">
      <alignment vertical="bottom"/>
    </xf>
    <xf borderId="33" fillId="4" fontId="18" numFmtId="49" xfId="0" applyAlignment="1" applyBorder="1" applyFont="1" applyNumberFormat="1">
      <alignment horizontal="center" vertical="center"/>
    </xf>
    <xf borderId="2" fillId="0" fontId="18" numFmtId="49" xfId="0" applyAlignment="1" applyBorder="1" applyFont="1" applyNumberFormat="1">
      <alignment horizontal="center" vertical="bottom"/>
    </xf>
    <xf borderId="29" fillId="4" fontId="18" numFmtId="49" xfId="0" applyAlignment="1" applyBorder="1" applyFont="1" applyNumberFormat="1">
      <alignment horizontal="center" vertical="center"/>
    </xf>
    <xf borderId="4" fillId="4" fontId="9" numFmtId="49" xfId="0" applyAlignment="1" applyBorder="1" applyFont="1" applyNumberFormat="1">
      <alignment horizontal="center" vertical="center"/>
    </xf>
    <xf borderId="1" fillId="4" fontId="18" numFmtId="49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horizontal="center" vertical="center"/>
    </xf>
    <xf borderId="2" fillId="4" fontId="16" numFmtId="49" xfId="0" applyAlignment="1" applyBorder="1" applyFont="1" applyNumberFormat="1">
      <alignment horizontal="center" vertical="bottom"/>
    </xf>
    <xf borderId="1" fillId="0" fontId="18" numFmtId="49" xfId="0" applyAlignment="1" applyBorder="1" applyFont="1" applyNumberFormat="1">
      <alignment horizontal="center" vertical="bottom"/>
    </xf>
    <xf borderId="24" fillId="13" fontId="2" numFmtId="49" xfId="0" applyAlignment="1" applyBorder="1" applyFont="1" applyNumberFormat="1">
      <alignment vertical="bottom"/>
    </xf>
    <xf borderId="1" fillId="0" fontId="9" numFmtId="49" xfId="0" applyAlignment="1" applyBorder="1" applyFont="1" applyNumberFormat="1">
      <alignment horizontal="center" vertical="bottom"/>
    </xf>
    <xf borderId="1" fillId="13" fontId="9" numFmtId="49" xfId="0" applyAlignment="1" applyBorder="1" applyFont="1" applyNumberFormat="1">
      <alignment horizontal="center" vertical="bottom"/>
    </xf>
    <xf borderId="8" fillId="4" fontId="18" numFmtId="49" xfId="0" applyAlignment="1" applyBorder="1" applyFont="1" applyNumberFormat="1">
      <alignment horizontal="center" vertical="center"/>
    </xf>
    <xf borderId="4" fillId="4" fontId="16" numFmtId="49" xfId="0" applyAlignment="1" applyBorder="1" applyFont="1" applyNumberFormat="1">
      <alignment vertical="bottom"/>
    </xf>
    <xf borderId="33" fillId="4" fontId="16" numFmtId="49" xfId="0" applyAlignment="1" applyBorder="1" applyFont="1" applyNumberFormat="1">
      <alignment horizontal="center" vertical="bottom"/>
    </xf>
    <xf borderId="29" fillId="10" fontId="13" numFmtId="49" xfId="0" applyAlignment="1" applyBorder="1" applyFont="1" applyNumberFormat="1">
      <alignment horizontal="center" vertical="bottom"/>
    </xf>
    <xf borderId="8" fillId="10" fontId="2" numFmtId="49" xfId="0" applyAlignment="1" applyBorder="1" applyFont="1" applyNumberFormat="1">
      <alignment vertical="bottom"/>
    </xf>
    <xf borderId="27" fillId="13" fontId="13" numFmtId="49" xfId="0" applyAlignment="1" applyBorder="1" applyFont="1" applyNumberFormat="1">
      <alignment horizontal="center" vertical="bottom"/>
    </xf>
    <xf borderId="33" fillId="14" fontId="9" numFmtId="49" xfId="0" applyAlignment="1" applyBorder="1" applyFont="1" applyNumberFormat="1">
      <alignment horizontal="center" vertical="bottom"/>
    </xf>
    <xf borderId="33" fillId="14" fontId="2" numFmtId="49" xfId="0" applyAlignment="1" applyBorder="1" applyFont="1" applyNumberFormat="1">
      <alignment vertical="bottom"/>
    </xf>
    <xf borderId="33" fillId="13" fontId="2" numFmtId="49" xfId="0" applyAlignment="1" applyBorder="1" applyFont="1" applyNumberFormat="1">
      <alignment vertical="bottom"/>
    </xf>
    <xf borderId="0" fillId="4" fontId="18" numFmtId="49" xfId="0" applyAlignment="1" applyFont="1" applyNumberFormat="1">
      <alignment horizontal="center" vertical="bottom"/>
    </xf>
    <xf borderId="0" fillId="4" fontId="13" numFmtId="49" xfId="0" applyAlignment="1" applyFont="1" applyNumberFormat="1">
      <alignment horizontal="center" vertical="bottom"/>
    </xf>
    <xf borderId="0" fillId="4" fontId="16" numFmtId="49" xfId="0" applyAlignment="1" applyFont="1" applyNumberFormat="1">
      <alignment horizontal="center" vertical="bottom"/>
    </xf>
    <xf borderId="0" fillId="4" fontId="18" numFmtId="49" xfId="0" applyAlignment="1" applyFont="1" applyNumberFormat="1">
      <alignment horizontal="center" vertical="center"/>
    </xf>
    <xf borderId="0" fillId="4" fontId="16" numFmtId="49" xfId="0" applyAlignment="1" applyFont="1" applyNumberFormat="1">
      <alignment vertical="bottom"/>
    </xf>
    <xf borderId="0" fillId="4" fontId="9" numFmtId="49" xfId="0" applyAlignment="1" applyFont="1" applyNumberFormat="1">
      <alignment horizontal="center" vertical="bottom"/>
    </xf>
    <xf borderId="0" fillId="4" fontId="17" numFmtId="0" xfId="0" applyAlignment="1" applyFont="1">
      <alignment horizontal="center" vertical="center"/>
    </xf>
    <xf borderId="0" fillId="4" fontId="13" numFmtId="49" xfId="0" applyAlignment="1" applyFont="1" applyNumberFormat="1">
      <alignment vertical="bottom"/>
    </xf>
    <xf borderId="0" fillId="4" fontId="18" numFmtId="0" xfId="0" applyAlignment="1" applyFont="1">
      <alignment horizontal="center" vertical="bottom"/>
    </xf>
    <xf borderId="0" fillId="0" fontId="18" numFmtId="49" xfId="0" applyAlignment="1" applyFont="1" applyNumberForma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4" fontId="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right" vertical="center"/>
    </xf>
    <xf borderId="0" fillId="4" fontId="13" numFmtId="0" xfId="0" applyAlignment="1" applyFont="1">
      <alignment horizontal="center" vertical="center"/>
    </xf>
    <xf borderId="0" fillId="4" fontId="2" numFmtId="168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0" fillId="4" fontId="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4" fontId="13" numFmtId="0" xfId="0" applyAlignment="1" applyFont="1">
      <alignment horizontal="center" vertical="bottom"/>
    </xf>
    <xf borderId="0" fillId="4" fontId="2" numFmtId="168" xfId="0" applyAlignment="1" applyFont="1" applyNumberFormat="1">
      <alignment vertical="bottom"/>
    </xf>
    <xf borderId="0" fillId="4" fontId="13" numFmtId="0" xfId="0" applyAlignment="1" applyFont="1">
      <alignment vertical="center"/>
    </xf>
    <xf borderId="0" fillId="4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11" fillId="4" fontId="13" numFmtId="0" xfId="0" applyAlignment="1" applyBorder="1" applyFont="1">
      <alignment horizontal="center" vertical="bottom"/>
    </xf>
    <xf borderId="11" fillId="6" fontId="2" numFmtId="0" xfId="0" applyAlignment="1" applyBorder="1" applyFont="1">
      <alignment vertical="center"/>
    </xf>
    <xf borderId="11" fillId="6" fontId="2" numFmtId="0" xfId="0" applyAlignment="1" applyBorder="1" applyFont="1">
      <alignment horizontal="right" vertical="center"/>
    </xf>
    <xf borderId="0" fillId="0" fontId="2" numFmtId="0" xfId="0" applyAlignment="1" applyFont="1">
      <alignment horizontal="right" vertical="center"/>
    </xf>
    <xf borderId="11" fillId="16" fontId="2" numFmtId="0" xfId="0" applyAlignment="1" applyBorder="1" applyFill="1" applyFont="1">
      <alignment vertical="center"/>
    </xf>
    <xf borderId="11" fillId="16" fontId="2" numFmtId="0" xfId="0" applyAlignment="1" applyBorder="1" applyFont="1">
      <alignment horizontal="right" vertical="center"/>
    </xf>
    <xf borderId="11" fillId="4" fontId="2" numFmtId="0" xfId="0" applyAlignment="1" applyBorder="1" applyFont="1">
      <alignment horizontal="right" vertical="center"/>
    </xf>
    <xf borderId="11" fillId="17" fontId="2" numFmtId="0" xfId="0" applyAlignment="1" applyBorder="1" applyFill="1" applyFont="1">
      <alignment vertical="center"/>
    </xf>
    <xf borderId="11" fillId="17" fontId="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71"/>
    <col customWidth="1" min="3" max="3" width="4.57"/>
    <col customWidth="1" min="10" max="10" width="5.71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/>
      <c r="K3" s="1" t="s">
        <v>8</v>
      </c>
      <c r="L3" s="1" t="s">
        <v>9</v>
      </c>
    </row>
    <row r="4">
      <c r="B4" s="2">
        <f>'【大井町】売上'!B4</f>
        <v>46054</v>
      </c>
      <c r="C4" s="3" t="str">
        <f>'【大井町】売上'!C4</f>
        <v>日</v>
      </c>
      <c r="D4" s="4">
        <f>'【大井町】売上'!D4+'【蒲田】売上'!D4+'【巣鴨】売上'!D4</f>
        <v>0</v>
      </c>
      <c r="E4" s="4">
        <f>'【大井町】売上'!E4+'【蒲田】売上'!E4+'【巣鴨】売上'!E4</f>
        <v>0</v>
      </c>
      <c r="F4" s="4">
        <f>'【大井町】売上'!F4+'【蒲田】売上'!F4+'【巣鴨】売上'!F4</f>
        <v>0</v>
      </c>
      <c r="G4" s="5">
        <f>SUM(D4)</f>
        <v>0</v>
      </c>
      <c r="H4" s="5">
        <f>'【大井町】売上'!H4+'【蒲田】売上'!H4+'【巣鴨】売上'!H4</f>
        <v>140000</v>
      </c>
      <c r="I4" s="5">
        <f>H4</f>
        <v>140000</v>
      </c>
      <c r="J4" s="6">
        <f t="shared" ref="J4:J34" si="1">G4/I4</f>
        <v>0</v>
      </c>
      <c r="K4" s="7">
        <f t="shared" ref="K4:K34" si="2">G4-I4</f>
        <v>-140000</v>
      </c>
      <c r="L4" s="8">
        <f t="shared" ref="L4:L5" si="3">M4/1</f>
        <v>0</v>
      </c>
      <c r="M4" s="9">
        <f>F4</f>
        <v>0</v>
      </c>
    </row>
    <row r="5">
      <c r="B5" s="10">
        <f>'【大井町】売上'!B5</f>
        <v>46055</v>
      </c>
      <c r="C5" s="11" t="str">
        <f>'【大井町】売上'!C5</f>
        <v>月</v>
      </c>
      <c r="D5" s="12">
        <f>'【大井町】売上'!D5+'【蒲田】売上'!D5+'【巣鴨】売上'!D5</f>
        <v>156000</v>
      </c>
      <c r="E5" s="12">
        <f>'【大井町】売上'!E5+'【蒲田】売上'!E5+'【巣鴨】売上'!E5</f>
        <v>85500</v>
      </c>
      <c r="F5" s="12">
        <f>'【大井町】売上'!F5+'【蒲田】売上'!F5+'【巣鴨】売上'!F5</f>
        <v>70500</v>
      </c>
      <c r="G5" s="13">
        <f t="shared" ref="G5:G33" si="4">SUM(D5+G4)</f>
        <v>156000</v>
      </c>
      <c r="H5" s="13">
        <f>'【大井町】売上'!H5+'【蒲田】売上'!H5+'【巣鴨】売上'!H5</f>
        <v>220000</v>
      </c>
      <c r="I5" s="13">
        <f t="shared" ref="I5:I34" si="5">H5+I4</f>
        <v>360000</v>
      </c>
      <c r="J5" s="14">
        <f t="shared" si="1"/>
        <v>0.4333333333</v>
      </c>
      <c r="K5" s="15">
        <f t="shared" si="2"/>
        <v>-204000</v>
      </c>
      <c r="L5" s="16">
        <f t="shared" si="3"/>
        <v>70500</v>
      </c>
      <c r="M5" s="9">
        <f t="shared" ref="M5:M34" si="6">F5+M4</f>
        <v>70500</v>
      </c>
    </row>
    <row r="6">
      <c r="B6" s="10">
        <f>'【大井町】売上'!B6</f>
        <v>46056</v>
      </c>
      <c r="C6" s="11" t="str">
        <f>'【大井町】売上'!C6</f>
        <v>火</v>
      </c>
      <c r="D6" s="12">
        <f>'【大井町】売上'!D6+'【蒲田】売上'!D6+'【巣鴨】売上'!D6</f>
        <v>224000</v>
      </c>
      <c r="E6" s="12">
        <f>'【大井町】売上'!E6+'【蒲田】売上'!E6+'【巣鴨】売上'!E6</f>
        <v>124000</v>
      </c>
      <c r="F6" s="12">
        <f>'【大井町】売上'!F6+'【蒲田】売上'!F6+'【巣鴨】売上'!F6</f>
        <v>100000</v>
      </c>
      <c r="G6" s="13">
        <f t="shared" si="4"/>
        <v>380000</v>
      </c>
      <c r="H6" s="13">
        <f>'【大井町】売上'!H6+'【蒲田】売上'!H6+'【巣鴨】売上'!H6</f>
        <v>220000</v>
      </c>
      <c r="I6" s="13">
        <f t="shared" si="5"/>
        <v>580000</v>
      </c>
      <c r="J6" s="14">
        <f t="shared" si="1"/>
        <v>0.6551724138</v>
      </c>
      <c r="K6" s="15">
        <f t="shared" si="2"/>
        <v>-200000</v>
      </c>
      <c r="L6" s="17">
        <f>M6/2</f>
        <v>85250</v>
      </c>
      <c r="M6" s="9">
        <f t="shared" si="6"/>
        <v>170500</v>
      </c>
    </row>
    <row r="7">
      <c r="B7" s="10">
        <f>'【大井町】売上'!B7</f>
        <v>46057</v>
      </c>
      <c r="C7" s="11" t="str">
        <f>'【大井町】売上'!C7</f>
        <v>水</v>
      </c>
      <c r="D7" s="12">
        <f>'【大井町】売上'!D7+'【蒲田】売上'!D7+'【巣鴨】売上'!D7</f>
        <v>207000</v>
      </c>
      <c r="E7" s="12">
        <f>'【大井町】売上'!E7+'【蒲田】売上'!E7+'【巣鴨】売上'!E7</f>
        <v>117500</v>
      </c>
      <c r="F7" s="12">
        <f>'【大井町】売上'!F7+'【蒲田】売上'!F7+'【巣鴨】売上'!F7</f>
        <v>89500</v>
      </c>
      <c r="G7" s="13">
        <f t="shared" si="4"/>
        <v>587000</v>
      </c>
      <c r="H7" s="13">
        <f>'【大井町】売上'!H7+'【蒲田】売上'!H7+'【巣鴨】売上'!H7</f>
        <v>220000</v>
      </c>
      <c r="I7" s="13">
        <f t="shared" si="5"/>
        <v>800000</v>
      </c>
      <c r="J7" s="14">
        <f t="shared" si="1"/>
        <v>0.73375</v>
      </c>
      <c r="K7" s="15">
        <f t="shared" si="2"/>
        <v>-213000</v>
      </c>
      <c r="L7" s="16">
        <f>M7/3</f>
        <v>86666.66667</v>
      </c>
      <c r="M7" s="9">
        <f t="shared" si="6"/>
        <v>260000</v>
      </c>
    </row>
    <row r="8">
      <c r="B8" s="10">
        <f>'【大井町】売上'!B8</f>
        <v>46058</v>
      </c>
      <c r="C8" s="11" t="str">
        <f>'【大井町】売上'!C8</f>
        <v>木</v>
      </c>
      <c r="D8" s="12">
        <f>'【大井町】売上'!D8+'【蒲田】売上'!D8+'【巣鴨】売上'!D8</f>
        <v>220000</v>
      </c>
      <c r="E8" s="12">
        <f>'【大井町】売上'!E8+'【蒲田】売上'!E8+'【巣鴨】売上'!E8</f>
        <v>127925</v>
      </c>
      <c r="F8" s="12">
        <f>'【大井町】売上'!F8+'【蒲田】売上'!F8+'【巣鴨】売上'!F8</f>
        <v>92075</v>
      </c>
      <c r="G8" s="13">
        <f t="shared" si="4"/>
        <v>807000</v>
      </c>
      <c r="H8" s="13">
        <f>'【大井町】売上'!H8+'【蒲田】売上'!H8+'【巣鴨】売上'!H8</f>
        <v>220000</v>
      </c>
      <c r="I8" s="13">
        <f t="shared" si="5"/>
        <v>1020000</v>
      </c>
      <c r="J8" s="14">
        <f t="shared" si="1"/>
        <v>0.7911764706</v>
      </c>
      <c r="K8" s="15">
        <f t="shared" si="2"/>
        <v>-213000</v>
      </c>
      <c r="L8" s="17">
        <f>M8/4</f>
        <v>88018.75</v>
      </c>
      <c r="M8" s="9">
        <f t="shared" si="6"/>
        <v>352075</v>
      </c>
    </row>
    <row r="9">
      <c r="B9" s="10">
        <f>'【大井町】売上'!B9</f>
        <v>46059</v>
      </c>
      <c r="C9" s="11" t="str">
        <f>'【大井町】売上'!C9</f>
        <v>金</v>
      </c>
      <c r="D9" s="12">
        <f>'【大井町】売上'!D9+'【蒲田】売上'!D9+'【巣鴨】売上'!D9</f>
        <v>216000</v>
      </c>
      <c r="E9" s="12">
        <f>'【大井町】売上'!E9+'【蒲田】売上'!E9+'【巣鴨】売上'!E9</f>
        <v>119099</v>
      </c>
      <c r="F9" s="12">
        <f>'【大井町】売上'!F9+'【蒲田】売上'!F9+'【巣鴨】売上'!F9</f>
        <v>96901</v>
      </c>
      <c r="G9" s="13">
        <f t="shared" si="4"/>
        <v>1023000</v>
      </c>
      <c r="H9" s="13">
        <f>'【大井町】売上'!H9+'【蒲田】売上'!H9+'【巣鴨】売上'!H9</f>
        <v>220000</v>
      </c>
      <c r="I9" s="13">
        <f t="shared" si="5"/>
        <v>1240000</v>
      </c>
      <c r="J9" s="14">
        <f t="shared" si="1"/>
        <v>0.825</v>
      </c>
      <c r="K9" s="15">
        <f t="shared" si="2"/>
        <v>-217000</v>
      </c>
      <c r="L9" s="16">
        <f>M9/5</f>
        <v>89795.2</v>
      </c>
      <c r="M9" s="9">
        <f t="shared" si="6"/>
        <v>448976</v>
      </c>
    </row>
    <row r="10">
      <c r="B10" s="10">
        <f>'【大井町】売上'!B10</f>
        <v>46060</v>
      </c>
      <c r="C10" s="11" t="str">
        <f>'【大井町】売上'!C10</f>
        <v>土</v>
      </c>
      <c r="D10" s="12">
        <f>'【大井町】売上'!D10+'【蒲田】売上'!D10+'【巣鴨】売上'!D10</f>
        <v>262000</v>
      </c>
      <c r="E10" s="12">
        <f>'【大井町】売上'!E10+'【蒲田】売上'!E10+'【巣鴨】売上'!E10</f>
        <v>139947</v>
      </c>
      <c r="F10" s="12">
        <f>'【大井町】売上'!F10+'【蒲田】売上'!F10+'【巣鴨】売上'!F10</f>
        <v>122053</v>
      </c>
      <c r="G10" s="13">
        <f t="shared" si="4"/>
        <v>1285000</v>
      </c>
      <c r="H10" s="13">
        <f>'【大井町】売上'!H10+'【蒲田】売上'!H10+'【巣鴨】売上'!H10</f>
        <v>220000</v>
      </c>
      <c r="I10" s="13">
        <f t="shared" si="5"/>
        <v>1460000</v>
      </c>
      <c r="J10" s="14">
        <f t="shared" si="1"/>
        <v>0.8801369863</v>
      </c>
      <c r="K10" s="15">
        <f t="shared" si="2"/>
        <v>-175000</v>
      </c>
      <c r="L10" s="16">
        <f>M10/6</f>
        <v>95171.5</v>
      </c>
      <c r="M10" s="9">
        <f t="shared" si="6"/>
        <v>571029</v>
      </c>
    </row>
    <row r="11">
      <c r="B11" s="10">
        <f>'【大井町】売上'!B11</f>
        <v>46061</v>
      </c>
      <c r="C11" s="11" t="str">
        <f>'【大井町】売上'!C11</f>
        <v>日</v>
      </c>
      <c r="D11" s="12">
        <f>'【大井町】売上'!D11+'【蒲田】売上'!D11+'【巣鴨】売上'!D11</f>
        <v>227000</v>
      </c>
      <c r="E11" s="12">
        <f>'【大井町】売上'!E11+'【蒲田】売上'!E11+'【巣鴨】売上'!E11</f>
        <v>128500</v>
      </c>
      <c r="F11" s="12">
        <f>'【大井町】売上'!F11+'【蒲田】売上'!F11+'【巣鴨】売上'!F11</f>
        <v>98500</v>
      </c>
      <c r="G11" s="13">
        <f t="shared" si="4"/>
        <v>1512000</v>
      </c>
      <c r="H11" s="13">
        <f>'【大井町】売上'!H11+'【蒲田】売上'!H11+'【巣鴨】売上'!H11</f>
        <v>220000</v>
      </c>
      <c r="I11" s="13">
        <f t="shared" si="5"/>
        <v>1680000</v>
      </c>
      <c r="J11" s="14">
        <f t="shared" si="1"/>
        <v>0.9</v>
      </c>
      <c r="K11" s="15">
        <f t="shared" si="2"/>
        <v>-168000</v>
      </c>
      <c r="L11" s="16">
        <f>M11/7</f>
        <v>95647</v>
      </c>
      <c r="M11" s="9">
        <f t="shared" si="6"/>
        <v>669529</v>
      </c>
    </row>
    <row r="12">
      <c r="B12" s="10">
        <f>'【大井町】売上'!B12</f>
        <v>46062</v>
      </c>
      <c r="C12" s="11" t="str">
        <f>'【大井町】売上'!C12</f>
        <v>月</v>
      </c>
      <c r="D12" s="12">
        <f>'【大井町】売上'!D12+'【蒲田】売上'!D12+'【巣鴨】売上'!D12</f>
        <v>225000</v>
      </c>
      <c r="E12" s="12">
        <f>'【大井町】売上'!E12+'【蒲田】売上'!E12+'【巣鴨】売上'!E12</f>
        <v>126000</v>
      </c>
      <c r="F12" s="12">
        <f>'【大井町】売上'!F12+'【蒲田】売上'!F12+'【巣鴨】売上'!F12</f>
        <v>99000</v>
      </c>
      <c r="G12" s="13">
        <f t="shared" si="4"/>
        <v>1737000</v>
      </c>
      <c r="H12" s="13">
        <f>'【大井町】売上'!H12+'【蒲田】売上'!H12+'【巣鴨】売上'!H12</f>
        <v>220000</v>
      </c>
      <c r="I12" s="13">
        <f t="shared" si="5"/>
        <v>1900000</v>
      </c>
      <c r="J12" s="14">
        <f t="shared" si="1"/>
        <v>0.9142105263</v>
      </c>
      <c r="K12" s="15">
        <f t="shared" si="2"/>
        <v>-163000</v>
      </c>
      <c r="L12" s="17">
        <f>M12/8</f>
        <v>96066.125</v>
      </c>
      <c r="M12" s="9">
        <f t="shared" si="6"/>
        <v>768529</v>
      </c>
    </row>
    <row r="13">
      <c r="B13" s="10">
        <f>'【大井町】売上'!B13</f>
        <v>46063</v>
      </c>
      <c r="C13" s="11" t="str">
        <f>'【大井町】売上'!C13</f>
        <v>火</v>
      </c>
      <c r="D13" s="12">
        <f>'【大井町】売上'!D13+'【蒲田】売上'!D13+'【巣鴨】売上'!D13</f>
        <v>273000</v>
      </c>
      <c r="E13" s="12">
        <f>'【大井町】売上'!E13+'【蒲田】売上'!E13+'【巣鴨】売上'!E13</f>
        <v>152500</v>
      </c>
      <c r="F13" s="12">
        <f>'【大井町】売上'!F13+'【蒲田】売上'!F13+'【巣鴨】売上'!F13</f>
        <v>120500</v>
      </c>
      <c r="G13" s="13">
        <f t="shared" si="4"/>
        <v>2010000</v>
      </c>
      <c r="H13" s="13">
        <f>'【大井町】売上'!H13+'【蒲田】売上'!H13+'【巣鴨】売上'!H13</f>
        <v>220000</v>
      </c>
      <c r="I13" s="13">
        <f t="shared" si="5"/>
        <v>2120000</v>
      </c>
      <c r="J13" s="14">
        <f t="shared" si="1"/>
        <v>0.9481132075</v>
      </c>
      <c r="K13" s="15">
        <f t="shared" si="2"/>
        <v>-110000</v>
      </c>
      <c r="L13" s="16">
        <f>M13/9</f>
        <v>98781</v>
      </c>
      <c r="M13" s="9">
        <f t="shared" si="6"/>
        <v>889029</v>
      </c>
    </row>
    <row r="14">
      <c r="B14" s="10">
        <f>'【大井町】売上'!B14</f>
        <v>46064</v>
      </c>
      <c r="C14" s="11" t="str">
        <f>'【大井町】売上'!C14</f>
        <v>水</v>
      </c>
      <c r="D14" s="12">
        <f>'【大井町】売上'!D14+'【蒲田】売上'!D14+'【巣鴨】売上'!D14</f>
        <v>171000</v>
      </c>
      <c r="E14" s="12">
        <f>'【大井町】売上'!E14+'【蒲田】売上'!E14+'【巣鴨】売上'!E14</f>
        <v>95000</v>
      </c>
      <c r="F14" s="12">
        <f>'【大井町】売上'!F14+'【蒲田】売上'!F14+'【巣鴨】売上'!F14</f>
        <v>76000</v>
      </c>
      <c r="G14" s="13">
        <f t="shared" si="4"/>
        <v>2181000</v>
      </c>
      <c r="H14" s="13">
        <f>'【大井町】売上'!H14+'【蒲田】売上'!H14+'【巣鴨】売上'!H14</f>
        <v>220000</v>
      </c>
      <c r="I14" s="13">
        <f t="shared" si="5"/>
        <v>2340000</v>
      </c>
      <c r="J14" s="14">
        <f t="shared" si="1"/>
        <v>0.9320512821</v>
      </c>
      <c r="K14" s="15">
        <f t="shared" si="2"/>
        <v>-159000</v>
      </c>
      <c r="L14" s="17">
        <f>M14/10</f>
        <v>96502.9</v>
      </c>
      <c r="M14" s="9">
        <f t="shared" si="6"/>
        <v>965029</v>
      </c>
    </row>
    <row r="15">
      <c r="B15" s="10">
        <f>'【大井町】売上'!B15</f>
        <v>46065</v>
      </c>
      <c r="C15" s="11" t="str">
        <f>'【大井町】売上'!C15</f>
        <v>木</v>
      </c>
      <c r="D15" s="12">
        <f>'【大井町】売上'!D15+'【蒲田】売上'!D15+'【巣鴨】売上'!D15</f>
        <v>225000</v>
      </c>
      <c r="E15" s="12">
        <f>'【大井町】売上'!E15+'【蒲田】売上'!E15+'【巣鴨】売上'!E15</f>
        <v>130347</v>
      </c>
      <c r="F15" s="12">
        <f>'【大井町】売上'!F15+'【蒲田】売上'!F15+'【巣鴨】売上'!F15</f>
        <v>94653</v>
      </c>
      <c r="G15" s="13">
        <f t="shared" si="4"/>
        <v>2406000</v>
      </c>
      <c r="H15" s="13">
        <f>'【大井町】売上'!H15+'【蒲田】売上'!H15+'【巣鴨】売上'!H15</f>
        <v>220000</v>
      </c>
      <c r="I15" s="13">
        <f t="shared" si="5"/>
        <v>2560000</v>
      </c>
      <c r="J15" s="14">
        <f t="shared" si="1"/>
        <v>0.93984375</v>
      </c>
      <c r="K15" s="15">
        <f t="shared" si="2"/>
        <v>-154000</v>
      </c>
      <c r="L15" s="16">
        <f>M15/11</f>
        <v>96334.72727</v>
      </c>
      <c r="M15" s="9">
        <f t="shared" si="6"/>
        <v>1059682</v>
      </c>
    </row>
    <row r="16">
      <c r="B16" s="10">
        <f>'【大井町】売上'!B16</f>
        <v>46066</v>
      </c>
      <c r="C16" s="11" t="str">
        <f>'【大井町】売上'!C16</f>
        <v>金</v>
      </c>
      <c r="D16" s="12">
        <f>'【大井町】売上'!D16+'【蒲田】売上'!D16+'【巣鴨】売上'!D16</f>
        <v>133000</v>
      </c>
      <c r="E16" s="12">
        <f>'【大井町】売上'!E16+'【蒲田】売上'!E16+'【巣鴨】売上'!E16</f>
        <v>73000</v>
      </c>
      <c r="F16" s="12">
        <f>'【大井町】売上'!F16+'【蒲田】売上'!F16+'【巣鴨】売上'!F16</f>
        <v>60000</v>
      </c>
      <c r="G16" s="13">
        <f t="shared" si="4"/>
        <v>2539000</v>
      </c>
      <c r="H16" s="13">
        <f>'【大井町】売上'!H16+'【蒲田】売上'!H16+'【巣鴨】売上'!H16</f>
        <v>220000</v>
      </c>
      <c r="I16" s="13">
        <f t="shared" si="5"/>
        <v>2780000</v>
      </c>
      <c r="J16" s="14">
        <f t="shared" si="1"/>
        <v>0.9133093525</v>
      </c>
      <c r="K16" s="15">
        <f t="shared" si="2"/>
        <v>-241000</v>
      </c>
      <c r="L16" s="16">
        <f>M16/12</f>
        <v>93306.83333</v>
      </c>
      <c r="M16" s="9">
        <f t="shared" si="6"/>
        <v>1119682</v>
      </c>
    </row>
    <row r="17">
      <c r="B17" s="10">
        <f>'【大井町】売上'!B17</f>
        <v>46067</v>
      </c>
      <c r="C17" s="11" t="str">
        <f>'【大井町】売上'!C17</f>
        <v>土</v>
      </c>
      <c r="D17" s="12">
        <f>'【大井町】売上'!D17+'【蒲田】売上'!D17+'【巣鴨】売上'!D17</f>
        <v>152000</v>
      </c>
      <c r="E17" s="12">
        <f>'【大井町】売上'!E17+'【蒲田】売上'!E17+'【巣鴨】売上'!E17</f>
        <v>88822</v>
      </c>
      <c r="F17" s="12">
        <f>'【大井町】売上'!F17+'【蒲田】売上'!F17+'【巣鴨】売上'!F17</f>
        <v>63178</v>
      </c>
      <c r="G17" s="13">
        <f t="shared" si="4"/>
        <v>2691000</v>
      </c>
      <c r="H17" s="13">
        <f>'【大井町】売上'!H17+'【蒲田】売上'!H17+'【巣鴨】売上'!H17</f>
        <v>220000</v>
      </c>
      <c r="I17" s="13">
        <f t="shared" si="5"/>
        <v>3000000</v>
      </c>
      <c r="J17" s="14">
        <f t="shared" si="1"/>
        <v>0.897</v>
      </c>
      <c r="K17" s="15">
        <f t="shared" si="2"/>
        <v>-309000</v>
      </c>
      <c r="L17" s="16">
        <f>M17/13</f>
        <v>90989.23077</v>
      </c>
      <c r="M17" s="9">
        <f t="shared" si="6"/>
        <v>1182860</v>
      </c>
    </row>
    <row r="18">
      <c r="B18" s="10">
        <f>'【大井町】売上'!B18</f>
        <v>46068</v>
      </c>
      <c r="C18" s="11" t="str">
        <f>'【大井町】売上'!C18</f>
        <v>日</v>
      </c>
      <c r="D18" s="12">
        <f>'【大井町】売上'!D18+'【蒲田】売上'!D18+'【巣鴨】売上'!D18</f>
        <v>227000</v>
      </c>
      <c r="E18" s="12">
        <f>'【大井町】売上'!E18+'【蒲田】売上'!E18+'【巣鴨】売上'!E18</f>
        <v>123770</v>
      </c>
      <c r="F18" s="12">
        <f>'【大井町】売上'!F18+'【蒲田】売上'!F18+'【巣鴨】売上'!F18</f>
        <v>103230</v>
      </c>
      <c r="G18" s="13">
        <f t="shared" si="4"/>
        <v>2918000</v>
      </c>
      <c r="H18" s="13">
        <f>'【大井町】売上'!H18+'【蒲田】売上'!H18+'【巣鴨】売上'!H18</f>
        <v>220000</v>
      </c>
      <c r="I18" s="13">
        <f t="shared" si="5"/>
        <v>3220000</v>
      </c>
      <c r="J18" s="14">
        <f t="shared" si="1"/>
        <v>0.9062111801</v>
      </c>
      <c r="K18" s="15">
        <f t="shared" si="2"/>
        <v>-302000</v>
      </c>
      <c r="L18" s="17">
        <f>M18/14</f>
        <v>91863.57143</v>
      </c>
      <c r="M18" s="9">
        <f t="shared" si="6"/>
        <v>1286090</v>
      </c>
    </row>
    <row r="19">
      <c r="B19" s="10">
        <f>'【大井町】売上'!B19</f>
        <v>46069</v>
      </c>
      <c r="C19" s="11" t="str">
        <f>'【大井町】売上'!C19</f>
        <v>月</v>
      </c>
      <c r="D19" s="12">
        <f>'【大井町】売上'!D19+'【蒲田】売上'!D19+'【巣鴨】売上'!D19</f>
        <v>212000</v>
      </c>
      <c r="E19" s="12">
        <f>'【大井町】売上'!E19+'【蒲田】売上'!E19+'【巣鴨】売上'!E19</f>
        <v>121000</v>
      </c>
      <c r="F19" s="12">
        <f>'【大井町】売上'!F19+'【蒲田】売上'!F19+'【巣鴨】売上'!F19</f>
        <v>91000</v>
      </c>
      <c r="G19" s="13">
        <f t="shared" si="4"/>
        <v>3130000</v>
      </c>
      <c r="H19" s="13">
        <f>'【大井町】売上'!H19+'【蒲田】売上'!H19+'【巣鴨】売上'!H19</f>
        <v>220000</v>
      </c>
      <c r="I19" s="13">
        <f t="shared" si="5"/>
        <v>3440000</v>
      </c>
      <c r="J19" s="14">
        <f t="shared" si="1"/>
        <v>0.9098837209</v>
      </c>
      <c r="K19" s="15">
        <f t="shared" si="2"/>
        <v>-310000</v>
      </c>
      <c r="L19" s="16">
        <f>M19/15</f>
        <v>91806</v>
      </c>
      <c r="M19" s="9">
        <f t="shared" si="6"/>
        <v>1377090</v>
      </c>
    </row>
    <row r="20">
      <c r="B20" s="10">
        <f>'【大井町】売上'!B20</f>
        <v>46070</v>
      </c>
      <c r="C20" s="11" t="str">
        <f>'【大井町】売上'!C20</f>
        <v>火</v>
      </c>
      <c r="D20" s="12">
        <f>'【大井町】売上'!D20+'【蒲田】売上'!D20+'【巣鴨】売上'!D20</f>
        <v>182000</v>
      </c>
      <c r="E20" s="12">
        <f>'【大井町】売上'!E20+'【蒲田】売上'!E20+'【巣鴨】売上'!E20</f>
        <v>106596</v>
      </c>
      <c r="F20" s="12">
        <f>'【大井町】売上'!F20+'【蒲田】売上'!F20+'【巣鴨】売上'!F20</f>
        <v>75404</v>
      </c>
      <c r="G20" s="13">
        <f t="shared" si="4"/>
        <v>3312000</v>
      </c>
      <c r="H20" s="13">
        <f>'【大井町】売上'!H20+'【蒲田】売上'!H20+'【巣鴨】売上'!H20</f>
        <v>220000</v>
      </c>
      <c r="I20" s="13">
        <f t="shared" si="5"/>
        <v>3660000</v>
      </c>
      <c r="J20" s="14">
        <f t="shared" si="1"/>
        <v>0.9049180328</v>
      </c>
      <c r="K20" s="15">
        <f t="shared" si="2"/>
        <v>-348000</v>
      </c>
      <c r="L20" s="17">
        <f>M20/16</f>
        <v>90780.875</v>
      </c>
      <c r="M20" s="9">
        <f t="shared" si="6"/>
        <v>1452494</v>
      </c>
    </row>
    <row r="21">
      <c r="B21" s="10">
        <f>'【大井町】売上'!B21</f>
        <v>46071</v>
      </c>
      <c r="C21" s="11" t="str">
        <f>'【大井町】売上'!C21</f>
        <v>水</v>
      </c>
      <c r="D21" s="12">
        <f>'【大井町】売上'!D21+'【蒲田】売上'!D21+'【巣鴨】売上'!D21</f>
        <v>179000</v>
      </c>
      <c r="E21" s="12">
        <f>'【大井町】売上'!E21+'【蒲田】売上'!E21+'【巣鴨】売上'!E21</f>
        <v>101500</v>
      </c>
      <c r="F21" s="12">
        <f>'【大井町】売上'!F21+'【蒲田】売上'!F21+'【巣鴨】売上'!F21</f>
        <v>77500</v>
      </c>
      <c r="G21" s="13">
        <f t="shared" si="4"/>
        <v>3491000</v>
      </c>
      <c r="H21" s="13">
        <f>'【大井町】売上'!H21+'【蒲田】売上'!H21+'【巣鴨】売上'!H21</f>
        <v>220000</v>
      </c>
      <c r="I21" s="13">
        <f t="shared" si="5"/>
        <v>3880000</v>
      </c>
      <c r="J21" s="14">
        <f t="shared" si="1"/>
        <v>0.899742268</v>
      </c>
      <c r="K21" s="15">
        <f t="shared" si="2"/>
        <v>-389000</v>
      </c>
      <c r="L21" s="16">
        <f>M21/17</f>
        <v>89999.64706</v>
      </c>
      <c r="M21" s="9">
        <f t="shared" si="6"/>
        <v>1529994</v>
      </c>
    </row>
    <row r="22">
      <c r="B22" s="10">
        <f>'【大井町】売上'!B22</f>
        <v>46072</v>
      </c>
      <c r="C22" s="11" t="str">
        <f>'【大井町】売上'!C22</f>
        <v>木</v>
      </c>
      <c r="D22" s="12">
        <f>'【大井町】売上'!D22+'【蒲田】売上'!D22+'【巣鴨】売上'!D22</f>
        <v>170000</v>
      </c>
      <c r="E22" s="12">
        <f>'【大井町】売上'!E22+'【蒲田】売上'!E22+'【巣鴨】売上'!E22</f>
        <v>99264</v>
      </c>
      <c r="F22" s="12">
        <f>'【大井町】売上'!F22+'【蒲田】売上'!F22+'【巣鴨】売上'!F22</f>
        <v>70736</v>
      </c>
      <c r="G22" s="13">
        <f t="shared" si="4"/>
        <v>3661000</v>
      </c>
      <c r="H22" s="13">
        <f>'【大井町】売上'!H22+'【蒲田】売上'!H22+'【巣鴨】売上'!H22</f>
        <v>220000</v>
      </c>
      <c r="I22" s="13">
        <f t="shared" si="5"/>
        <v>4100000</v>
      </c>
      <c r="J22" s="14">
        <f t="shared" si="1"/>
        <v>0.8929268293</v>
      </c>
      <c r="K22" s="15">
        <f t="shared" si="2"/>
        <v>-439000</v>
      </c>
      <c r="L22" s="16">
        <f>M22/18</f>
        <v>88929.44444</v>
      </c>
      <c r="M22" s="9">
        <f t="shared" si="6"/>
        <v>1600730</v>
      </c>
    </row>
    <row r="23">
      <c r="B23" s="10">
        <f>'【大井町】売上'!B23</f>
        <v>46073</v>
      </c>
      <c r="C23" s="11" t="str">
        <f>'【大井町】売上'!C23</f>
        <v>金</v>
      </c>
      <c r="D23" s="12">
        <f>'【大井町】売上'!D23+'【蒲田】売上'!D23+'【巣鴨】売上'!D23</f>
        <v>197000</v>
      </c>
      <c r="E23" s="12">
        <f>'【大井町】売上'!E23+'【蒲田】売上'!E23+'【巣鴨】売上'!E23</f>
        <v>112019</v>
      </c>
      <c r="F23" s="12">
        <f>'【大井町】売上'!F23+'【蒲田】売上'!F23+'【巣鴨】売上'!F23</f>
        <v>84981</v>
      </c>
      <c r="G23" s="13">
        <f t="shared" si="4"/>
        <v>3858000</v>
      </c>
      <c r="H23" s="13">
        <f>'【大井町】売上'!H23+'【蒲田】売上'!H23+'【巣鴨】売上'!H23</f>
        <v>220000</v>
      </c>
      <c r="I23" s="13">
        <f t="shared" si="5"/>
        <v>4320000</v>
      </c>
      <c r="J23" s="14">
        <f t="shared" si="1"/>
        <v>0.8930555556</v>
      </c>
      <c r="K23" s="15">
        <f t="shared" si="2"/>
        <v>-462000</v>
      </c>
      <c r="L23" s="16">
        <f>M23/19</f>
        <v>88721.63158</v>
      </c>
      <c r="M23" s="9">
        <f t="shared" si="6"/>
        <v>1685711</v>
      </c>
    </row>
    <row r="24">
      <c r="B24" s="10">
        <f>'【大井町】売上'!B24</f>
        <v>46074</v>
      </c>
      <c r="C24" s="11" t="str">
        <f>'【大井町】売上'!C24</f>
        <v>土</v>
      </c>
      <c r="D24" s="12">
        <f>'【大井町】売上'!D24+'【蒲田】売上'!D24+'【巣鴨】売上'!D24</f>
        <v>142000</v>
      </c>
      <c r="E24" s="12">
        <f>'【大井町】売上'!E24+'【蒲田】売上'!E24+'【巣鴨】売上'!E24</f>
        <v>81827</v>
      </c>
      <c r="F24" s="12">
        <f>'【大井町】売上'!F24+'【蒲田】売上'!F24+'【巣鴨】売上'!F24</f>
        <v>60173</v>
      </c>
      <c r="G24" s="13">
        <f t="shared" si="4"/>
        <v>4000000</v>
      </c>
      <c r="H24" s="13">
        <f>'【大井町】売上'!H24+'【蒲田】売上'!H24+'【巣鴨】売上'!H24</f>
        <v>220000</v>
      </c>
      <c r="I24" s="13">
        <f t="shared" si="5"/>
        <v>4540000</v>
      </c>
      <c r="J24" s="14">
        <f t="shared" si="1"/>
        <v>0.8810572687</v>
      </c>
      <c r="K24" s="15">
        <f t="shared" si="2"/>
        <v>-540000</v>
      </c>
      <c r="L24" s="17">
        <f>M24/20</f>
        <v>87294.2</v>
      </c>
      <c r="M24" s="9">
        <f t="shared" si="6"/>
        <v>1745884</v>
      </c>
    </row>
    <row r="25">
      <c r="B25" s="10">
        <f>'【大井町】売上'!B25</f>
        <v>46075</v>
      </c>
      <c r="C25" s="11" t="str">
        <f>'【大井町】売上'!C25</f>
        <v>日</v>
      </c>
      <c r="D25" s="12">
        <f>'【大井町】売上'!D25+'【蒲田】売上'!D25+'【巣鴨】売上'!D25</f>
        <v>123000</v>
      </c>
      <c r="E25" s="12">
        <f>'【大井町】売上'!E25+'【蒲田】売上'!E25+'【巣鴨】売上'!E25</f>
        <v>65500</v>
      </c>
      <c r="F25" s="12">
        <f>'【大井町】売上'!F25+'【蒲田】売上'!F25+'【巣鴨】売上'!F25</f>
        <v>57500</v>
      </c>
      <c r="G25" s="13">
        <f t="shared" si="4"/>
        <v>4123000</v>
      </c>
      <c r="H25" s="13">
        <f>'【大井町】売上'!H25+'【蒲田】売上'!H25+'【巣鴨】売上'!H25</f>
        <v>220000</v>
      </c>
      <c r="I25" s="13">
        <f t="shared" si="5"/>
        <v>4760000</v>
      </c>
      <c r="J25" s="14">
        <f t="shared" si="1"/>
        <v>0.8661764706</v>
      </c>
      <c r="K25" s="15">
        <f t="shared" si="2"/>
        <v>-637000</v>
      </c>
      <c r="L25" s="16">
        <f>M25/21</f>
        <v>85875.42857</v>
      </c>
      <c r="M25" s="9">
        <f t="shared" si="6"/>
        <v>1803384</v>
      </c>
    </row>
    <row r="26">
      <c r="B26" s="10">
        <f>'【大井町】売上'!B26</f>
        <v>46076</v>
      </c>
      <c r="C26" s="11" t="str">
        <f>'【大井町】売上'!C26</f>
        <v>月</v>
      </c>
      <c r="D26" s="12">
        <f>'【大井町】売上'!D26+'【蒲田】売上'!D26+'【巣鴨】売上'!D26</f>
        <v>0</v>
      </c>
      <c r="E26" s="12">
        <f>'【大井町】売上'!E26+'【蒲田】売上'!E26+'【巣鴨】売上'!E26</f>
        <v>0</v>
      </c>
      <c r="F26" s="12">
        <f>'【大井町】売上'!F26+'【蒲田】売上'!F26+'【巣鴨】売上'!F26</f>
        <v>0</v>
      </c>
      <c r="G26" s="13">
        <f t="shared" si="4"/>
        <v>4123000</v>
      </c>
      <c r="H26" s="13">
        <f>'【大井町】売上'!H26+'【蒲田】売上'!H26+'【巣鴨】売上'!H26</f>
        <v>220000</v>
      </c>
      <c r="I26" s="13">
        <f t="shared" si="5"/>
        <v>4980000</v>
      </c>
      <c r="J26" s="14">
        <f t="shared" si="1"/>
        <v>0.8279116466</v>
      </c>
      <c r="K26" s="15">
        <f t="shared" si="2"/>
        <v>-857000</v>
      </c>
      <c r="L26" s="17">
        <f>M26/22</f>
        <v>81972</v>
      </c>
      <c r="M26" s="9">
        <f t="shared" si="6"/>
        <v>1803384</v>
      </c>
    </row>
    <row r="27">
      <c r="B27" s="10">
        <f>'【大井町】売上'!B27</f>
        <v>46077</v>
      </c>
      <c r="C27" s="11" t="str">
        <f>'【大井町】売上'!C27</f>
        <v>火</v>
      </c>
      <c r="D27" s="12">
        <f>'【大井町】売上'!D27+'【蒲田】売上'!D27+'【巣鴨】売上'!D27</f>
        <v>0</v>
      </c>
      <c r="E27" s="12">
        <f>'【大井町】売上'!E27+'【蒲田】売上'!E27+'【巣鴨】売上'!E27</f>
        <v>0</v>
      </c>
      <c r="F27" s="12">
        <f>'【大井町】売上'!F27+'【蒲田】売上'!F27+'【巣鴨】売上'!F27</f>
        <v>0</v>
      </c>
      <c r="G27" s="13">
        <f t="shared" si="4"/>
        <v>4123000</v>
      </c>
      <c r="H27" s="13">
        <f>'【大井町】売上'!H27+'【蒲田】売上'!H27+'【巣鴨】売上'!H27</f>
        <v>220000</v>
      </c>
      <c r="I27" s="13">
        <f t="shared" si="5"/>
        <v>5200000</v>
      </c>
      <c r="J27" s="14">
        <f t="shared" si="1"/>
        <v>0.7928846154</v>
      </c>
      <c r="K27" s="15">
        <f t="shared" si="2"/>
        <v>-1077000</v>
      </c>
      <c r="L27" s="16">
        <f>M27/23</f>
        <v>78408</v>
      </c>
      <c r="M27" s="9">
        <f t="shared" si="6"/>
        <v>1803384</v>
      </c>
    </row>
    <row r="28">
      <c r="B28" s="10">
        <f>'【大井町】売上'!B28</f>
        <v>46078</v>
      </c>
      <c r="C28" s="11" t="str">
        <f>'【大井町】売上'!C28</f>
        <v>水</v>
      </c>
      <c r="D28" s="12">
        <f>'【大井町】売上'!D28+'【蒲田】売上'!D28+'【巣鴨】売上'!D28</f>
        <v>0</v>
      </c>
      <c r="E28" s="12">
        <f>'【大井町】売上'!E28+'【蒲田】売上'!E28+'【巣鴨】売上'!E28</f>
        <v>0</v>
      </c>
      <c r="F28" s="12">
        <f>'【大井町】売上'!F28+'【蒲田】売上'!F28+'【巣鴨】売上'!F28</f>
        <v>0</v>
      </c>
      <c r="G28" s="13">
        <f t="shared" si="4"/>
        <v>4123000</v>
      </c>
      <c r="H28" s="13">
        <f>'【大井町】売上'!H28+'【蒲田】売上'!H28+'【巣鴨】売上'!H28</f>
        <v>220000</v>
      </c>
      <c r="I28" s="13">
        <f t="shared" si="5"/>
        <v>5420000</v>
      </c>
      <c r="J28" s="14">
        <f t="shared" si="1"/>
        <v>0.760701107</v>
      </c>
      <c r="K28" s="15">
        <f t="shared" si="2"/>
        <v>-1297000</v>
      </c>
      <c r="L28" s="16">
        <f>M28/24</f>
        <v>75141</v>
      </c>
      <c r="M28" s="9">
        <f t="shared" si="6"/>
        <v>1803384</v>
      </c>
    </row>
    <row r="29">
      <c r="B29" s="10">
        <f>'【大井町】売上'!B29</f>
        <v>46079</v>
      </c>
      <c r="C29" s="11" t="str">
        <f>'【大井町】売上'!C29</f>
        <v>木</v>
      </c>
      <c r="D29" s="12">
        <f>'【大井町】売上'!D29+'【蒲田】売上'!D29+'【巣鴨】売上'!D29</f>
        <v>0</v>
      </c>
      <c r="E29" s="12">
        <f>'【大井町】売上'!E29+'【蒲田】売上'!E29+'【巣鴨】売上'!E29</f>
        <v>0</v>
      </c>
      <c r="F29" s="12">
        <f>'【大井町】売上'!F29+'【蒲田】売上'!F29+'【巣鴨】売上'!F29</f>
        <v>0</v>
      </c>
      <c r="G29" s="13">
        <f t="shared" si="4"/>
        <v>4123000</v>
      </c>
      <c r="H29" s="13">
        <f>'【大井町】売上'!H29+'【蒲田】売上'!H29+'【巣鴨】売上'!H29</f>
        <v>220000</v>
      </c>
      <c r="I29" s="13">
        <f t="shared" si="5"/>
        <v>5640000</v>
      </c>
      <c r="J29" s="14">
        <f t="shared" si="1"/>
        <v>0.7310283688</v>
      </c>
      <c r="K29" s="15">
        <f t="shared" si="2"/>
        <v>-1517000</v>
      </c>
      <c r="L29" s="16">
        <f>M29/25</f>
        <v>72135.36</v>
      </c>
      <c r="M29" s="9">
        <f t="shared" si="6"/>
        <v>1803384</v>
      </c>
    </row>
    <row r="30">
      <c r="B30" s="10">
        <f>'【大井町】売上'!B30</f>
        <v>46080</v>
      </c>
      <c r="C30" s="11" t="str">
        <f>'【大井町】売上'!C30</f>
        <v>金</v>
      </c>
      <c r="D30" s="12">
        <f>'【大井町】売上'!D30+'【蒲田】売上'!D30+'【巣鴨】売上'!D30</f>
        <v>0</v>
      </c>
      <c r="E30" s="12">
        <f>'【大井町】売上'!E30+'【蒲田】売上'!E30+'【巣鴨】売上'!E30</f>
        <v>0</v>
      </c>
      <c r="F30" s="12">
        <f>'【大井町】売上'!F30+'【蒲田】売上'!F30+'【巣鴨】売上'!F30</f>
        <v>0</v>
      </c>
      <c r="G30" s="13">
        <f t="shared" si="4"/>
        <v>4123000</v>
      </c>
      <c r="H30" s="13">
        <f>'【大井町】売上'!H30+'【蒲田】売上'!H30+'【巣鴨】売上'!H30</f>
        <v>220000</v>
      </c>
      <c r="I30" s="13">
        <f t="shared" si="5"/>
        <v>5860000</v>
      </c>
      <c r="J30" s="14">
        <f t="shared" si="1"/>
        <v>0.7035836177</v>
      </c>
      <c r="K30" s="15">
        <f t="shared" si="2"/>
        <v>-1737000</v>
      </c>
      <c r="L30" s="17">
        <f>M30/26</f>
        <v>69360.92308</v>
      </c>
      <c r="M30" s="9">
        <f t="shared" si="6"/>
        <v>1803384</v>
      </c>
    </row>
    <row r="31">
      <c r="B31" s="10">
        <f>'【大井町】売上'!B31</f>
        <v>46081</v>
      </c>
      <c r="C31" s="11" t="str">
        <f>'【大井町】売上'!C31</f>
        <v>土</v>
      </c>
      <c r="D31" s="12">
        <f>'【大井町】売上'!D31+'【蒲田】売上'!D31+'【巣鴨】売上'!D31</f>
        <v>0</v>
      </c>
      <c r="E31" s="12">
        <f>'【大井町】売上'!E31+'【蒲田】売上'!E31+'【巣鴨】売上'!E31</f>
        <v>0</v>
      </c>
      <c r="F31" s="12">
        <f>'【大井町】売上'!F31+'【蒲田】売上'!F31+'【巣鴨】売上'!F31</f>
        <v>0</v>
      </c>
      <c r="G31" s="13">
        <f t="shared" si="4"/>
        <v>4123000</v>
      </c>
      <c r="H31" s="13">
        <f>'【大井町】売上'!H31+'【蒲田】売上'!H31+'【巣鴨】売上'!H31</f>
        <v>220000</v>
      </c>
      <c r="I31" s="13">
        <f t="shared" si="5"/>
        <v>6080000</v>
      </c>
      <c r="J31" s="14">
        <f t="shared" si="1"/>
        <v>0.678125</v>
      </c>
      <c r="K31" s="15">
        <f t="shared" si="2"/>
        <v>-1957000</v>
      </c>
      <c r="L31" s="16">
        <f>M31/27</f>
        <v>66792</v>
      </c>
      <c r="M31" s="9">
        <f t="shared" si="6"/>
        <v>1803384</v>
      </c>
    </row>
    <row r="32">
      <c r="B32" s="10" t="str">
        <f>'【大井町】売上'!B32</f>
        <v/>
      </c>
      <c r="C32" s="11" t="str">
        <f>'【大井町】売上'!C32</f>
        <v/>
      </c>
      <c r="D32" s="12">
        <f>'【大井町】売上'!D32+'【蒲田】売上'!D32+'【巣鴨】売上'!D32</f>
        <v>0</v>
      </c>
      <c r="E32" s="12">
        <f>'【大井町】売上'!E32+'【蒲田】売上'!E32+'【巣鴨】売上'!E32</f>
        <v>0</v>
      </c>
      <c r="F32" s="12">
        <f>'【大井町】売上'!F32+'【蒲田】売上'!F32+'【巣鴨】売上'!F32</f>
        <v>0</v>
      </c>
      <c r="G32" s="13">
        <f t="shared" si="4"/>
        <v>4123000</v>
      </c>
      <c r="H32" s="13">
        <f>'【大井町】売上'!H32+'【蒲田】売上'!H32+'【巣鴨】売上'!H32</f>
        <v>220000</v>
      </c>
      <c r="I32" s="13">
        <f t="shared" si="5"/>
        <v>6300000</v>
      </c>
      <c r="J32" s="14">
        <f t="shared" si="1"/>
        <v>0.6544444444</v>
      </c>
      <c r="K32" s="15">
        <f t="shared" si="2"/>
        <v>-2177000</v>
      </c>
      <c r="L32" s="17">
        <f>M32/28</f>
        <v>64406.57143</v>
      </c>
      <c r="M32" s="9">
        <f t="shared" si="6"/>
        <v>1803384</v>
      </c>
    </row>
    <row r="33">
      <c r="B33" s="10" t="str">
        <f>'【大井町】売上'!B33</f>
        <v/>
      </c>
      <c r="C33" s="11" t="str">
        <f>'【大井町】売上'!C33</f>
        <v/>
      </c>
      <c r="D33" s="12">
        <f>'【大井町】売上'!D33+'【蒲田】売上'!D33+'【巣鴨】売上'!D33</f>
        <v>0</v>
      </c>
      <c r="E33" s="12">
        <f>'【大井町】売上'!E33+'【蒲田】売上'!E33+'【巣鴨】売上'!E33</f>
        <v>0</v>
      </c>
      <c r="F33" s="12">
        <f>'【大井町】売上'!F33+'【蒲田】売上'!F33+'【巣鴨】売上'!F33</f>
        <v>0</v>
      </c>
      <c r="G33" s="13">
        <f t="shared" si="4"/>
        <v>4123000</v>
      </c>
      <c r="H33" s="13">
        <f>'【大井町】売上'!H33+'【蒲田】売上'!H33+'【巣鴨】売上'!H33</f>
        <v>220000</v>
      </c>
      <c r="I33" s="13">
        <f t="shared" si="5"/>
        <v>6520000</v>
      </c>
      <c r="J33" s="14">
        <f t="shared" si="1"/>
        <v>0.6323619632</v>
      </c>
      <c r="K33" s="15">
        <f t="shared" si="2"/>
        <v>-2397000</v>
      </c>
      <c r="L33" s="16">
        <f>M33/29</f>
        <v>62185.65517</v>
      </c>
      <c r="M33" s="9">
        <f t="shared" si="6"/>
        <v>1803384</v>
      </c>
    </row>
    <row r="34">
      <c r="B34" s="10" t="str">
        <f>'【大井町】売上'!B34</f>
        <v/>
      </c>
      <c r="C34" s="11" t="str">
        <f>'【大井町】売上'!C34</f>
        <v/>
      </c>
      <c r="D34" s="12">
        <f>'【大井町】売上'!D34+'【蒲田】売上'!D34+'【巣鴨】売上'!D34</f>
        <v>0</v>
      </c>
      <c r="E34" s="12">
        <f>'【大井町】売上'!E34+'【蒲田】売上'!E34+'【巣鴨】売上'!E34</f>
        <v>0</v>
      </c>
      <c r="F34" s="12">
        <f>'【大井町】売上'!F34+'【蒲田】売上'!F34+'【巣鴨】売上'!F34</f>
        <v>0</v>
      </c>
      <c r="G34" s="13">
        <f>G33+D34</f>
        <v>4123000</v>
      </c>
      <c r="H34" s="13">
        <f>'【大井町】売上'!H34+'【蒲田】売上'!H34+'【巣鴨】売上'!H34</f>
        <v>220000</v>
      </c>
      <c r="I34" s="13">
        <f t="shared" si="5"/>
        <v>6740000</v>
      </c>
      <c r="J34" s="14">
        <f t="shared" si="1"/>
        <v>0.6117210682</v>
      </c>
      <c r="K34" s="15">
        <f t="shared" si="2"/>
        <v>-2617000</v>
      </c>
      <c r="L34" s="16">
        <f>M34/30</f>
        <v>60112.8</v>
      </c>
      <c r="M34" s="9">
        <f t="shared" si="6"/>
        <v>1803384</v>
      </c>
    </row>
    <row r="35">
      <c r="B35" s="18" t="s">
        <v>10</v>
      </c>
      <c r="C35" s="18"/>
      <c r="D35" s="19">
        <f t="shared" ref="D35:E35" si="7">SUM(D4:D34)</f>
        <v>4123000</v>
      </c>
      <c r="E35" s="19">
        <f t="shared" si="7"/>
        <v>2319616</v>
      </c>
      <c r="F35" s="19">
        <f>SUM(D35-E35)</f>
        <v>1803384</v>
      </c>
      <c r="G35" s="13">
        <f>SUM(G34)</f>
        <v>4123000</v>
      </c>
      <c r="H35" s="13">
        <f>SUM(H4:H34)</f>
        <v>6740000</v>
      </c>
      <c r="I35" s="13">
        <f>H35</f>
        <v>6740000</v>
      </c>
      <c r="J35" s="13"/>
      <c r="K35" s="20"/>
      <c r="L35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9.43"/>
    <col customWidth="1" min="3" max="3" width="3.0"/>
    <col customWidth="1" min="4" max="7" width="14.29"/>
    <col customWidth="1" min="8" max="8" width="10.0"/>
    <col customWidth="1" min="9" max="9" width="10.43"/>
    <col customWidth="1" min="10" max="10" width="6.71"/>
    <col customWidth="1" min="11" max="11" width="11.0"/>
    <col customWidth="1" min="12" max="12" width="9.29"/>
    <col customWidth="1" min="13" max="15" width="5.71"/>
    <col customWidth="1" min="16" max="20" width="12.43"/>
  </cols>
  <sheetData>
    <row r="1" ht="18.0" customHeight="1">
      <c r="B1" s="22">
        <v>46054.0</v>
      </c>
      <c r="C1" s="23"/>
      <c r="D1" s="24"/>
      <c r="E1" s="24"/>
      <c r="F1" s="24"/>
      <c r="G1" s="24"/>
      <c r="H1" s="24"/>
      <c r="I1" s="24"/>
    </row>
    <row r="2" ht="18.0" customHeight="1">
      <c r="B2" s="25"/>
      <c r="C2" s="26"/>
      <c r="D2" s="24"/>
      <c r="E2" s="24"/>
      <c r="F2" s="24"/>
      <c r="G2" s="24"/>
      <c r="H2" s="24"/>
      <c r="I2" s="24"/>
    </row>
    <row r="3" ht="18.0" customHeight="1">
      <c r="B3" s="27" t="s">
        <v>0</v>
      </c>
      <c r="C3" s="28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29" t="s">
        <v>7</v>
      </c>
      <c r="J3" s="29" t="s">
        <v>11</v>
      </c>
      <c r="K3" s="29" t="s">
        <v>8</v>
      </c>
      <c r="L3" s="30" t="s">
        <v>12</v>
      </c>
      <c r="M3" s="29" t="s">
        <v>13</v>
      </c>
      <c r="N3" s="29" t="s">
        <v>14</v>
      </c>
      <c r="O3" s="29" t="s">
        <v>15</v>
      </c>
    </row>
    <row r="4" ht="18.0" customHeight="1">
      <c r="B4" s="31">
        <v>46054.0</v>
      </c>
      <c r="C4" s="32" t="s">
        <v>16</v>
      </c>
      <c r="D4" s="33">
        <f>'シフト'!J7</f>
        <v>0</v>
      </c>
      <c r="E4" s="33">
        <f>'シフト'!K7</f>
        <v>0</v>
      </c>
      <c r="F4" s="33">
        <f t="shared" ref="F4:F34" si="1">D4-E4</f>
        <v>0</v>
      </c>
      <c r="G4" s="13">
        <f>SUM(D4)</f>
        <v>0</v>
      </c>
      <c r="H4" s="13"/>
      <c r="I4" s="13">
        <f>SUM(H4)</f>
        <v>0</v>
      </c>
      <c r="J4" s="14" t="str">
        <f t="shared" ref="J4:J34" si="2">G4/I4</f>
        <v>#DIV/0!</v>
      </c>
      <c r="K4" s="13">
        <f t="shared" ref="K4:K34" si="3">G4-I4</f>
        <v>0</v>
      </c>
      <c r="L4" s="17" t="str">
        <f t="shared" ref="L4:L34" si="4">D4/SUM(M4:O4)</f>
        <v>#DIV/0!</v>
      </c>
      <c r="M4" s="17">
        <f>'シフト'!N6</f>
        <v>0</v>
      </c>
      <c r="N4" s="17">
        <f>'シフト'!O6</f>
        <v>0</v>
      </c>
      <c r="O4" s="17">
        <f>'シフト'!P6</f>
        <v>0</v>
      </c>
      <c r="P4" s="9"/>
    </row>
    <row r="5" ht="18.0" customHeight="1">
      <c r="B5" s="31">
        <v>46055.0</v>
      </c>
      <c r="C5" s="32" t="s">
        <v>17</v>
      </c>
      <c r="D5" s="33">
        <f>'シフト'!J12</f>
        <v>74000</v>
      </c>
      <c r="E5" s="33">
        <f>'シフト'!K12</f>
        <v>41000</v>
      </c>
      <c r="F5" s="33">
        <f t="shared" si="1"/>
        <v>33000</v>
      </c>
      <c r="G5" s="13">
        <f t="shared" ref="G5:G33" si="5">SUM(D5+G4)</f>
        <v>74000</v>
      </c>
      <c r="H5" s="13">
        <v>80000.0</v>
      </c>
      <c r="I5" s="13">
        <f t="shared" ref="I5:I33" si="6">SUM(H5+I4)</f>
        <v>80000</v>
      </c>
      <c r="J5" s="14">
        <f t="shared" si="2"/>
        <v>0.925</v>
      </c>
      <c r="K5" s="13">
        <f t="shared" si="3"/>
        <v>-6000</v>
      </c>
      <c r="L5" s="17">
        <f t="shared" si="4"/>
        <v>18500</v>
      </c>
      <c r="M5" s="17">
        <f>'シフト'!N11</f>
        <v>0</v>
      </c>
      <c r="N5" s="17">
        <f>'シフト'!O11</f>
        <v>4</v>
      </c>
      <c r="O5" s="17">
        <f>'シフト'!P11</f>
        <v>0</v>
      </c>
      <c r="P5" s="9"/>
    </row>
    <row r="6" ht="18.0" customHeight="1">
      <c r="B6" s="31">
        <v>46056.0</v>
      </c>
      <c r="C6" s="32" t="s">
        <v>18</v>
      </c>
      <c r="D6" s="33">
        <f>'シフト'!J17</f>
        <v>90000</v>
      </c>
      <c r="E6" s="33">
        <f>'シフト'!K17</f>
        <v>47500</v>
      </c>
      <c r="F6" s="33">
        <f t="shared" si="1"/>
        <v>42500</v>
      </c>
      <c r="G6" s="13">
        <f t="shared" si="5"/>
        <v>164000</v>
      </c>
      <c r="H6" s="13">
        <v>80000.0</v>
      </c>
      <c r="I6" s="13">
        <f t="shared" si="6"/>
        <v>160000</v>
      </c>
      <c r="J6" s="14">
        <f t="shared" si="2"/>
        <v>1.025</v>
      </c>
      <c r="K6" s="13">
        <f t="shared" si="3"/>
        <v>4000</v>
      </c>
      <c r="L6" s="17">
        <f t="shared" si="4"/>
        <v>22500</v>
      </c>
      <c r="M6" s="17">
        <f>'シフト'!N16</f>
        <v>0</v>
      </c>
      <c r="N6" s="17">
        <f>'シフト'!O16</f>
        <v>4</v>
      </c>
      <c r="O6" s="17">
        <f>'シフト'!P16</f>
        <v>0</v>
      </c>
      <c r="P6" s="9"/>
    </row>
    <row r="7" ht="18.0" customHeight="1">
      <c r="B7" s="31">
        <v>46057.0</v>
      </c>
      <c r="C7" s="32" t="s">
        <v>19</v>
      </c>
      <c r="D7" s="33">
        <f>'シフト'!J22</f>
        <v>118000</v>
      </c>
      <c r="E7" s="33">
        <f>'シフト'!K22</f>
        <v>66500</v>
      </c>
      <c r="F7" s="33">
        <f t="shared" si="1"/>
        <v>51500</v>
      </c>
      <c r="G7" s="13">
        <f t="shared" si="5"/>
        <v>282000</v>
      </c>
      <c r="H7" s="13">
        <v>80000.0</v>
      </c>
      <c r="I7" s="13">
        <f t="shared" si="6"/>
        <v>240000</v>
      </c>
      <c r="J7" s="14">
        <f t="shared" si="2"/>
        <v>1.175</v>
      </c>
      <c r="K7" s="13">
        <f t="shared" si="3"/>
        <v>42000</v>
      </c>
      <c r="L7" s="17">
        <f t="shared" si="4"/>
        <v>16857.14286</v>
      </c>
      <c r="M7" s="17">
        <f>'シフト'!N21</f>
        <v>2</v>
      </c>
      <c r="N7" s="17">
        <f>'シフト'!O21</f>
        <v>3</v>
      </c>
      <c r="O7" s="17">
        <f>'シフト'!P21</f>
        <v>2</v>
      </c>
      <c r="P7" s="9"/>
    </row>
    <row r="8" ht="18.0" customHeight="1">
      <c r="B8" s="31">
        <v>46058.0</v>
      </c>
      <c r="C8" s="32" t="s">
        <v>20</v>
      </c>
      <c r="D8" s="33">
        <f>'シフト'!J27</f>
        <v>131000</v>
      </c>
      <c r="E8" s="33">
        <f>'シフト'!K27</f>
        <v>77000</v>
      </c>
      <c r="F8" s="33">
        <f t="shared" si="1"/>
        <v>54000</v>
      </c>
      <c r="G8" s="13">
        <f t="shared" si="5"/>
        <v>413000</v>
      </c>
      <c r="H8" s="13">
        <v>80000.0</v>
      </c>
      <c r="I8" s="13">
        <f t="shared" si="6"/>
        <v>320000</v>
      </c>
      <c r="J8" s="14">
        <f t="shared" si="2"/>
        <v>1.290625</v>
      </c>
      <c r="K8" s="13">
        <f t="shared" si="3"/>
        <v>93000</v>
      </c>
      <c r="L8" s="17">
        <f t="shared" si="4"/>
        <v>18714.28571</v>
      </c>
      <c r="M8" s="17">
        <f>'シフト'!N26</f>
        <v>1</v>
      </c>
      <c r="N8" s="17">
        <f>'シフト'!O26</f>
        <v>3</v>
      </c>
      <c r="O8" s="17">
        <f>'シフト'!P26</f>
        <v>3</v>
      </c>
      <c r="P8" s="9"/>
      <c r="R8" s="34"/>
    </row>
    <row r="9" ht="18.0" customHeight="1">
      <c r="B9" s="31">
        <v>46059.0</v>
      </c>
      <c r="C9" s="32" t="s">
        <v>21</v>
      </c>
      <c r="D9" s="33">
        <f>'シフト'!J32</f>
        <v>57000</v>
      </c>
      <c r="E9" s="33">
        <f>'シフト'!K32</f>
        <v>33000</v>
      </c>
      <c r="F9" s="33">
        <f t="shared" si="1"/>
        <v>24000</v>
      </c>
      <c r="G9" s="13">
        <f t="shared" si="5"/>
        <v>470000</v>
      </c>
      <c r="H9" s="13">
        <v>80000.0</v>
      </c>
      <c r="I9" s="13">
        <f t="shared" si="6"/>
        <v>400000</v>
      </c>
      <c r="J9" s="14">
        <f t="shared" si="2"/>
        <v>1.175</v>
      </c>
      <c r="K9" s="13">
        <f t="shared" si="3"/>
        <v>70000</v>
      </c>
      <c r="L9" s="17">
        <f t="shared" si="4"/>
        <v>14250</v>
      </c>
      <c r="M9" s="17">
        <f>'シフト'!N31</f>
        <v>1</v>
      </c>
      <c r="N9" s="17">
        <f>'シフト'!O31</f>
        <v>2</v>
      </c>
      <c r="O9" s="17">
        <f>'シフト'!P31</f>
        <v>1</v>
      </c>
      <c r="P9" s="9"/>
      <c r="R9" s="34"/>
    </row>
    <row r="10" ht="18.0" customHeight="1">
      <c r="A10" s="35"/>
      <c r="B10" s="31">
        <v>46060.0</v>
      </c>
      <c r="C10" s="32" t="s">
        <v>22</v>
      </c>
      <c r="D10" s="33">
        <f>'シフト'!J37</f>
        <v>166000</v>
      </c>
      <c r="E10" s="33">
        <f>'シフト'!K37</f>
        <v>85000</v>
      </c>
      <c r="F10" s="33">
        <f t="shared" si="1"/>
        <v>81000</v>
      </c>
      <c r="G10" s="13">
        <f t="shared" si="5"/>
        <v>636000</v>
      </c>
      <c r="H10" s="13">
        <v>80000.0</v>
      </c>
      <c r="I10" s="13">
        <f t="shared" si="6"/>
        <v>480000</v>
      </c>
      <c r="J10" s="14">
        <f t="shared" si="2"/>
        <v>1.325</v>
      </c>
      <c r="K10" s="13">
        <f t="shared" si="3"/>
        <v>156000</v>
      </c>
      <c r="L10" s="17">
        <f t="shared" si="4"/>
        <v>16600</v>
      </c>
      <c r="M10" s="17">
        <f>'シフト'!N36</f>
        <v>3</v>
      </c>
      <c r="N10" s="17">
        <f>'シフト'!O36</f>
        <v>7</v>
      </c>
      <c r="O10" s="17">
        <f>'シフト'!P36</f>
        <v>0</v>
      </c>
      <c r="P10" s="9"/>
    </row>
    <row r="11" ht="18.0" customHeight="1">
      <c r="A11" s="35">
        <f>SUM(D4:D10)</f>
        <v>636000</v>
      </c>
      <c r="B11" s="31">
        <v>46061.0</v>
      </c>
      <c r="C11" s="32" t="s">
        <v>16</v>
      </c>
      <c r="D11" s="33">
        <f>'シフト'!J42</f>
        <v>148000</v>
      </c>
      <c r="E11" s="33">
        <f>'シフト'!K42</f>
        <v>83500</v>
      </c>
      <c r="F11" s="33">
        <f t="shared" si="1"/>
        <v>64500</v>
      </c>
      <c r="G11" s="13">
        <f t="shared" si="5"/>
        <v>784000</v>
      </c>
      <c r="H11" s="13">
        <v>80000.0</v>
      </c>
      <c r="I11" s="13">
        <f t="shared" si="6"/>
        <v>560000</v>
      </c>
      <c r="J11" s="14">
        <f t="shared" si="2"/>
        <v>1.4</v>
      </c>
      <c r="K11" s="13">
        <f t="shared" si="3"/>
        <v>224000</v>
      </c>
      <c r="L11" s="17">
        <f t="shared" si="4"/>
        <v>16444.44444</v>
      </c>
      <c r="M11" s="17">
        <f>'シフト'!N41</f>
        <v>0</v>
      </c>
      <c r="N11" s="17">
        <f>'シフト'!O41</f>
        <v>4</v>
      </c>
      <c r="O11" s="17">
        <f>'シフト'!P41</f>
        <v>5</v>
      </c>
      <c r="P11" s="9"/>
    </row>
    <row r="12" ht="18.0" customHeight="1">
      <c r="A12" s="35"/>
      <c r="B12" s="31">
        <v>46062.0</v>
      </c>
      <c r="C12" s="32" t="s">
        <v>17</v>
      </c>
      <c r="D12" s="33">
        <f>'シフト'!J47</f>
        <v>55000</v>
      </c>
      <c r="E12" s="33">
        <f>'シフト'!K47</f>
        <v>31500</v>
      </c>
      <c r="F12" s="33">
        <f t="shared" si="1"/>
        <v>23500</v>
      </c>
      <c r="G12" s="13">
        <f t="shared" si="5"/>
        <v>839000</v>
      </c>
      <c r="H12" s="13">
        <v>80000.0</v>
      </c>
      <c r="I12" s="13">
        <f t="shared" si="6"/>
        <v>640000</v>
      </c>
      <c r="J12" s="14">
        <f t="shared" si="2"/>
        <v>1.3109375</v>
      </c>
      <c r="K12" s="13">
        <f t="shared" si="3"/>
        <v>199000</v>
      </c>
      <c r="L12" s="17">
        <f t="shared" si="4"/>
        <v>18333.33333</v>
      </c>
      <c r="M12" s="17">
        <f>'シフト'!N46</f>
        <v>0</v>
      </c>
      <c r="N12" s="17">
        <f>'シフト'!O46</f>
        <v>2</v>
      </c>
      <c r="O12" s="17">
        <f>'シフト'!P46</f>
        <v>1</v>
      </c>
      <c r="P12" s="9"/>
    </row>
    <row r="13" ht="18.0" customHeight="1">
      <c r="B13" s="31">
        <v>46063.0</v>
      </c>
      <c r="C13" s="32" t="s">
        <v>18</v>
      </c>
      <c r="D13" s="33">
        <f>'シフト'!J52</f>
        <v>101000</v>
      </c>
      <c r="E13" s="33">
        <f>'シフト'!K52</f>
        <v>56500</v>
      </c>
      <c r="F13" s="33">
        <f t="shared" si="1"/>
        <v>44500</v>
      </c>
      <c r="G13" s="13">
        <f t="shared" si="5"/>
        <v>940000</v>
      </c>
      <c r="H13" s="13">
        <v>80000.0</v>
      </c>
      <c r="I13" s="13">
        <f t="shared" si="6"/>
        <v>720000</v>
      </c>
      <c r="J13" s="14">
        <f t="shared" si="2"/>
        <v>1.305555556</v>
      </c>
      <c r="K13" s="13">
        <f t="shared" si="3"/>
        <v>220000</v>
      </c>
      <c r="L13" s="17">
        <f t="shared" si="4"/>
        <v>16833.33333</v>
      </c>
      <c r="M13" s="17">
        <f>'シフト'!N51</f>
        <v>0</v>
      </c>
      <c r="N13" s="17">
        <f>'シフト'!O51</f>
        <v>4</v>
      </c>
      <c r="O13" s="17">
        <f>'シフト'!P51</f>
        <v>2</v>
      </c>
      <c r="P13" s="9"/>
    </row>
    <row r="14" ht="18.0" customHeight="1">
      <c r="B14" s="31">
        <v>46064.0</v>
      </c>
      <c r="C14" s="32" t="s">
        <v>19</v>
      </c>
      <c r="D14" s="33">
        <f>'シフト'!J57</f>
        <v>63000</v>
      </c>
      <c r="E14" s="33">
        <f>'シフト'!K57</f>
        <v>35500</v>
      </c>
      <c r="F14" s="33">
        <f t="shared" si="1"/>
        <v>27500</v>
      </c>
      <c r="G14" s="13">
        <f t="shared" si="5"/>
        <v>1003000</v>
      </c>
      <c r="H14" s="13">
        <v>80000.0</v>
      </c>
      <c r="I14" s="13">
        <f t="shared" si="6"/>
        <v>800000</v>
      </c>
      <c r="J14" s="14">
        <f t="shared" si="2"/>
        <v>1.25375</v>
      </c>
      <c r="K14" s="13">
        <f t="shared" si="3"/>
        <v>203000</v>
      </c>
      <c r="L14" s="17">
        <f t="shared" si="4"/>
        <v>15750</v>
      </c>
      <c r="M14" s="17">
        <f>'シフト'!N56</f>
        <v>0</v>
      </c>
      <c r="N14" s="17">
        <f>'シフト'!O56</f>
        <v>4</v>
      </c>
      <c r="O14" s="17">
        <f>'シフト'!P56</f>
        <v>0</v>
      </c>
      <c r="P14" s="9"/>
    </row>
    <row r="15" ht="18.0" customHeight="1">
      <c r="B15" s="31">
        <v>46065.0</v>
      </c>
      <c r="C15" s="32" t="s">
        <v>20</v>
      </c>
      <c r="D15" s="33">
        <f>'シフト'!J62</f>
        <v>103000</v>
      </c>
      <c r="E15" s="33">
        <f>'シフト'!K62</f>
        <v>58500</v>
      </c>
      <c r="F15" s="33">
        <f t="shared" si="1"/>
        <v>44500</v>
      </c>
      <c r="G15" s="13">
        <f t="shared" si="5"/>
        <v>1106000</v>
      </c>
      <c r="H15" s="13">
        <v>80000.0</v>
      </c>
      <c r="I15" s="13">
        <f t="shared" si="6"/>
        <v>880000</v>
      </c>
      <c r="J15" s="14">
        <f t="shared" si="2"/>
        <v>1.256818182</v>
      </c>
      <c r="K15" s="13">
        <f t="shared" si="3"/>
        <v>226000</v>
      </c>
      <c r="L15" s="17">
        <f t="shared" si="4"/>
        <v>17166.66667</v>
      </c>
      <c r="M15" s="17">
        <f>'シフト'!N61</f>
        <v>1</v>
      </c>
      <c r="N15" s="17">
        <f>'シフト'!O61</f>
        <v>4</v>
      </c>
      <c r="O15" s="17">
        <f>'シフト'!P61</f>
        <v>1</v>
      </c>
      <c r="P15" s="9"/>
    </row>
    <row r="16" ht="18.0" customHeight="1">
      <c r="B16" s="31">
        <v>46066.0</v>
      </c>
      <c r="C16" s="32" t="s">
        <v>21</v>
      </c>
      <c r="D16" s="33">
        <f>'シフト'!J67</f>
        <v>52000</v>
      </c>
      <c r="E16" s="33">
        <f>'シフト'!K67</f>
        <v>27000</v>
      </c>
      <c r="F16" s="33">
        <f t="shared" si="1"/>
        <v>25000</v>
      </c>
      <c r="G16" s="13">
        <f t="shared" si="5"/>
        <v>1158000</v>
      </c>
      <c r="H16" s="13">
        <v>80000.0</v>
      </c>
      <c r="I16" s="13">
        <f t="shared" si="6"/>
        <v>960000</v>
      </c>
      <c r="J16" s="14">
        <f t="shared" si="2"/>
        <v>1.20625</v>
      </c>
      <c r="K16" s="13">
        <f t="shared" si="3"/>
        <v>198000</v>
      </c>
      <c r="L16" s="17">
        <f t="shared" si="4"/>
        <v>13000</v>
      </c>
      <c r="M16" s="17">
        <f>'シフト'!N66</f>
        <v>1</v>
      </c>
      <c r="N16" s="17">
        <f>'シフト'!O66</f>
        <v>0</v>
      </c>
      <c r="O16" s="17">
        <f>'シフト'!P66</f>
        <v>3</v>
      </c>
      <c r="P16" s="9"/>
    </row>
    <row r="17" ht="18.0" customHeight="1">
      <c r="A17" s="35"/>
      <c r="B17" s="31">
        <v>46067.0</v>
      </c>
      <c r="C17" s="32" t="s">
        <v>22</v>
      </c>
      <c r="D17" s="33">
        <f>'シフト'!J72</f>
        <v>76000</v>
      </c>
      <c r="E17" s="33">
        <f>'シフト'!K72</f>
        <v>41000</v>
      </c>
      <c r="F17" s="33">
        <f t="shared" si="1"/>
        <v>35000</v>
      </c>
      <c r="G17" s="13">
        <f t="shared" si="5"/>
        <v>1234000</v>
      </c>
      <c r="H17" s="13">
        <v>80000.0</v>
      </c>
      <c r="I17" s="13">
        <f t="shared" si="6"/>
        <v>1040000</v>
      </c>
      <c r="J17" s="14">
        <f t="shared" si="2"/>
        <v>1.186538462</v>
      </c>
      <c r="K17" s="13">
        <f t="shared" si="3"/>
        <v>194000</v>
      </c>
      <c r="L17" s="17">
        <f t="shared" si="4"/>
        <v>15200</v>
      </c>
      <c r="M17" s="17">
        <f>'シフト'!N71</f>
        <v>0</v>
      </c>
      <c r="N17" s="17">
        <f>'シフト'!O71</f>
        <v>5</v>
      </c>
      <c r="O17" s="17">
        <f>'シフト'!P71</f>
        <v>0</v>
      </c>
      <c r="P17" s="9"/>
    </row>
    <row r="18" ht="18.0" customHeight="1">
      <c r="A18" s="35">
        <f>SUM(D11:D17)</f>
        <v>598000</v>
      </c>
      <c r="B18" s="31">
        <v>46068.0</v>
      </c>
      <c r="C18" s="32" t="s">
        <v>16</v>
      </c>
      <c r="D18" s="33">
        <f>'シフト'!J77</f>
        <v>76000</v>
      </c>
      <c r="E18" s="33">
        <f>'シフト'!K77</f>
        <v>46270</v>
      </c>
      <c r="F18" s="33">
        <f t="shared" si="1"/>
        <v>29730</v>
      </c>
      <c r="G18" s="13">
        <f t="shared" si="5"/>
        <v>1310000</v>
      </c>
      <c r="H18" s="13">
        <v>80000.0</v>
      </c>
      <c r="I18" s="13">
        <f t="shared" si="6"/>
        <v>1120000</v>
      </c>
      <c r="J18" s="14">
        <f t="shared" si="2"/>
        <v>1.169642857</v>
      </c>
      <c r="K18" s="13">
        <f t="shared" si="3"/>
        <v>190000</v>
      </c>
      <c r="L18" s="17">
        <f t="shared" si="4"/>
        <v>15200</v>
      </c>
      <c r="M18" s="17">
        <f>'シフト'!N76</f>
        <v>1</v>
      </c>
      <c r="N18" s="17">
        <f>'シフト'!O76</f>
        <v>3</v>
      </c>
      <c r="O18" s="17">
        <f>'シフト'!P76</f>
        <v>1</v>
      </c>
      <c r="P18" s="9"/>
    </row>
    <row r="19" ht="18.0" customHeight="1">
      <c r="A19" s="35"/>
      <c r="B19" s="31">
        <v>46069.0</v>
      </c>
      <c r="C19" s="32" t="s">
        <v>17</v>
      </c>
      <c r="D19" s="33">
        <f>'シフト'!J82</f>
        <v>47000</v>
      </c>
      <c r="E19" s="33">
        <f>'シフト'!K82</f>
        <v>26500</v>
      </c>
      <c r="F19" s="33">
        <f t="shared" si="1"/>
        <v>20500</v>
      </c>
      <c r="G19" s="13">
        <f t="shared" si="5"/>
        <v>1357000</v>
      </c>
      <c r="H19" s="13">
        <v>80000.0</v>
      </c>
      <c r="I19" s="13">
        <f t="shared" si="6"/>
        <v>1200000</v>
      </c>
      <c r="J19" s="14">
        <f t="shared" si="2"/>
        <v>1.130833333</v>
      </c>
      <c r="K19" s="13">
        <f t="shared" si="3"/>
        <v>157000</v>
      </c>
      <c r="L19" s="17">
        <f t="shared" si="4"/>
        <v>15666.66667</v>
      </c>
      <c r="M19" s="17">
        <f>'シフト'!N81</f>
        <v>0</v>
      </c>
      <c r="N19" s="17">
        <f>'シフト'!O81</f>
        <v>2</v>
      </c>
      <c r="O19" s="17">
        <f>'シフト'!P81</f>
        <v>1</v>
      </c>
      <c r="P19" s="9"/>
    </row>
    <row r="20" ht="18.0" customHeight="1">
      <c r="B20" s="31">
        <v>46070.0</v>
      </c>
      <c r="C20" s="32" t="s">
        <v>18</v>
      </c>
      <c r="D20" s="33">
        <f>'シフト'!J87</f>
        <v>64000</v>
      </c>
      <c r="E20" s="33">
        <f>'シフト'!K87</f>
        <v>35996</v>
      </c>
      <c r="F20" s="33">
        <f t="shared" si="1"/>
        <v>28004</v>
      </c>
      <c r="G20" s="13">
        <f t="shared" si="5"/>
        <v>1421000</v>
      </c>
      <c r="H20" s="13">
        <v>80000.0</v>
      </c>
      <c r="I20" s="13">
        <f t="shared" si="6"/>
        <v>1280000</v>
      </c>
      <c r="J20" s="14">
        <f t="shared" si="2"/>
        <v>1.11015625</v>
      </c>
      <c r="K20" s="13">
        <f t="shared" si="3"/>
        <v>141000</v>
      </c>
      <c r="L20" s="17">
        <f t="shared" si="4"/>
        <v>16000</v>
      </c>
      <c r="M20" s="17">
        <f>'シフト'!N86</f>
        <v>1</v>
      </c>
      <c r="N20" s="17">
        <f>'シフト'!O86</f>
        <v>3</v>
      </c>
      <c r="O20" s="17">
        <f>'シフト'!P86</f>
        <v>0</v>
      </c>
      <c r="P20" s="9"/>
    </row>
    <row r="21" ht="18.0" customHeight="1">
      <c r="B21" s="31">
        <v>46071.0</v>
      </c>
      <c r="C21" s="32" t="s">
        <v>19</v>
      </c>
      <c r="D21" s="33">
        <f>'シフト'!J92</f>
        <v>57000</v>
      </c>
      <c r="E21" s="33">
        <f>'シフト'!K92</f>
        <v>30500</v>
      </c>
      <c r="F21" s="33">
        <f t="shared" si="1"/>
        <v>26500</v>
      </c>
      <c r="G21" s="13">
        <f t="shared" si="5"/>
        <v>1478000</v>
      </c>
      <c r="H21" s="13">
        <v>80000.0</v>
      </c>
      <c r="I21" s="13">
        <f t="shared" si="6"/>
        <v>1360000</v>
      </c>
      <c r="J21" s="14">
        <f t="shared" si="2"/>
        <v>1.086764706</v>
      </c>
      <c r="K21" s="13">
        <f t="shared" si="3"/>
        <v>118000</v>
      </c>
      <c r="L21" s="17">
        <f t="shared" si="4"/>
        <v>14250</v>
      </c>
      <c r="M21" s="17">
        <f>'シフト'!N91</f>
        <v>0</v>
      </c>
      <c r="N21" s="17">
        <f>'シフト'!O91</f>
        <v>3</v>
      </c>
      <c r="O21" s="17">
        <f>'シフト'!P91</f>
        <v>1</v>
      </c>
      <c r="P21" s="9"/>
    </row>
    <row r="22" ht="18.0" customHeight="1">
      <c r="B22" s="31">
        <v>46072.0</v>
      </c>
      <c r="C22" s="32" t="s">
        <v>20</v>
      </c>
      <c r="D22" s="33">
        <f>'シフト'!J97</f>
        <v>44000</v>
      </c>
      <c r="E22" s="33">
        <f>'シフト'!K97</f>
        <v>25000</v>
      </c>
      <c r="F22" s="33">
        <f t="shared" si="1"/>
        <v>19000</v>
      </c>
      <c r="G22" s="13">
        <f t="shared" si="5"/>
        <v>1522000</v>
      </c>
      <c r="H22" s="13">
        <v>80000.0</v>
      </c>
      <c r="I22" s="13">
        <f t="shared" si="6"/>
        <v>1440000</v>
      </c>
      <c r="J22" s="14">
        <f t="shared" si="2"/>
        <v>1.056944444</v>
      </c>
      <c r="K22" s="13">
        <f t="shared" si="3"/>
        <v>82000</v>
      </c>
      <c r="L22" s="17">
        <f t="shared" si="4"/>
        <v>14666.66667</v>
      </c>
      <c r="M22" s="17">
        <f>'シフト'!N96</f>
        <v>0</v>
      </c>
      <c r="N22" s="17">
        <f>'シフト'!O96</f>
        <v>2</v>
      </c>
      <c r="O22" s="17">
        <f>'シフト'!P96</f>
        <v>1</v>
      </c>
      <c r="P22" s="9"/>
    </row>
    <row r="23" ht="18.0" customHeight="1">
      <c r="B23" s="31">
        <v>46073.0</v>
      </c>
      <c r="C23" s="32" t="s">
        <v>21</v>
      </c>
      <c r="D23" s="33">
        <f>'シフト'!J102</f>
        <v>92000</v>
      </c>
      <c r="E23" s="33">
        <f>'シフト'!K102</f>
        <v>51000</v>
      </c>
      <c r="F23" s="33">
        <f t="shared" si="1"/>
        <v>41000</v>
      </c>
      <c r="G23" s="13">
        <f t="shared" si="5"/>
        <v>1614000</v>
      </c>
      <c r="H23" s="13">
        <v>80000.0</v>
      </c>
      <c r="I23" s="13">
        <f t="shared" si="6"/>
        <v>1520000</v>
      </c>
      <c r="J23" s="14">
        <f t="shared" si="2"/>
        <v>1.061842105</v>
      </c>
      <c r="K23" s="13">
        <f t="shared" si="3"/>
        <v>94000</v>
      </c>
      <c r="L23" s="17">
        <f t="shared" si="4"/>
        <v>15333.33333</v>
      </c>
      <c r="M23" s="17">
        <f>'シフト'!N101</f>
        <v>1</v>
      </c>
      <c r="N23" s="17">
        <f>'シフト'!O101</f>
        <v>2</v>
      </c>
      <c r="O23" s="17">
        <f>'シフト'!P101</f>
        <v>3</v>
      </c>
      <c r="P23" s="9"/>
    </row>
    <row r="24" ht="18.0" customHeight="1">
      <c r="A24" s="35"/>
      <c r="B24" s="31">
        <v>46074.0</v>
      </c>
      <c r="C24" s="32" t="s">
        <v>22</v>
      </c>
      <c r="D24" s="33">
        <f>'シフト'!J107</f>
        <v>96000</v>
      </c>
      <c r="E24" s="33">
        <f>'シフト'!K107</f>
        <v>55827</v>
      </c>
      <c r="F24" s="33">
        <f t="shared" si="1"/>
        <v>40173</v>
      </c>
      <c r="G24" s="13">
        <f t="shared" si="5"/>
        <v>1710000</v>
      </c>
      <c r="H24" s="13">
        <v>80000.0</v>
      </c>
      <c r="I24" s="13">
        <f t="shared" si="6"/>
        <v>1600000</v>
      </c>
      <c r="J24" s="14">
        <f t="shared" si="2"/>
        <v>1.06875</v>
      </c>
      <c r="K24" s="13">
        <f t="shared" si="3"/>
        <v>110000</v>
      </c>
      <c r="L24" s="17">
        <f t="shared" si="4"/>
        <v>16000</v>
      </c>
      <c r="M24" s="17">
        <f>'シフト'!N106</f>
        <v>0</v>
      </c>
      <c r="N24" s="17">
        <f>'シフト'!O106</f>
        <v>4</v>
      </c>
      <c r="O24" s="17">
        <f>'シフト'!P106</f>
        <v>2</v>
      </c>
      <c r="P24" s="9"/>
    </row>
    <row r="25" ht="18.0" customHeight="1">
      <c r="A25" s="35">
        <f>SUM(D18:D24)</f>
        <v>476000</v>
      </c>
      <c r="B25" s="31">
        <v>46075.0</v>
      </c>
      <c r="C25" s="32" t="s">
        <v>16</v>
      </c>
      <c r="D25" s="33">
        <f>'シフト'!J112</f>
        <v>57000</v>
      </c>
      <c r="E25" s="33">
        <f>'シフト'!K112</f>
        <v>30500</v>
      </c>
      <c r="F25" s="33">
        <f t="shared" si="1"/>
        <v>26500</v>
      </c>
      <c r="G25" s="13">
        <f t="shared" si="5"/>
        <v>1767000</v>
      </c>
      <c r="H25" s="13">
        <v>80000.0</v>
      </c>
      <c r="I25" s="13">
        <f t="shared" si="6"/>
        <v>1680000</v>
      </c>
      <c r="J25" s="14">
        <f t="shared" si="2"/>
        <v>1.051785714</v>
      </c>
      <c r="K25" s="13">
        <f t="shared" si="3"/>
        <v>87000</v>
      </c>
      <c r="L25" s="17">
        <f t="shared" si="4"/>
        <v>3.929950359</v>
      </c>
      <c r="M25" s="17">
        <f>'シフト'!N111</f>
        <v>1</v>
      </c>
      <c r="N25" s="17">
        <f>'シフト'!O111</f>
        <v>3</v>
      </c>
      <c r="O25" s="17">
        <f>'シフト'!P111</f>
        <v>14500</v>
      </c>
      <c r="P25" s="9"/>
    </row>
    <row r="26" ht="18.0" customHeight="1">
      <c r="A26" s="35"/>
      <c r="B26" s="31">
        <v>46076.0</v>
      </c>
      <c r="C26" s="32" t="s">
        <v>17</v>
      </c>
      <c r="D26" s="33">
        <f>'シフト'!J117</f>
        <v>0</v>
      </c>
      <c r="E26" s="33">
        <f>'シフト'!K117</f>
        <v>0</v>
      </c>
      <c r="F26" s="33">
        <f t="shared" si="1"/>
        <v>0</v>
      </c>
      <c r="G26" s="13">
        <f t="shared" si="5"/>
        <v>1767000</v>
      </c>
      <c r="H26" s="13">
        <v>80000.0</v>
      </c>
      <c r="I26" s="13">
        <f t="shared" si="6"/>
        <v>1760000</v>
      </c>
      <c r="J26" s="14">
        <f t="shared" si="2"/>
        <v>1.003977273</v>
      </c>
      <c r="K26" s="13">
        <f t="shared" si="3"/>
        <v>7000</v>
      </c>
      <c r="L26" s="17" t="str">
        <f t="shared" si="4"/>
        <v>#DIV/0!</v>
      </c>
      <c r="M26" s="17">
        <f>'シフト'!N116</f>
        <v>0</v>
      </c>
      <c r="N26" s="17">
        <f>'シフト'!O116</f>
        <v>0</v>
      </c>
      <c r="O26" s="17">
        <f>'シフト'!P116</f>
        <v>0</v>
      </c>
      <c r="P26" s="9"/>
    </row>
    <row r="27" ht="18.0" customHeight="1">
      <c r="B27" s="31">
        <v>46077.0</v>
      </c>
      <c r="C27" s="32" t="s">
        <v>18</v>
      </c>
      <c r="D27" s="33">
        <f>'シフト'!J122</f>
        <v>0</v>
      </c>
      <c r="E27" s="33">
        <f>'シフト'!K122</f>
        <v>0</v>
      </c>
      <c r="F27" s="33">
        <f t="shared" si="1"/>
        <v>0</v>
      </c>
      <c r="G27" s="13">
        <f t="shared" si="5"/>
        <v>1767000</v>
      </c>
      <c r="H27" s="13">
        <v>80000.0</v>
      </c>
      <c r="I27" s="13">
        <f t="shared" si="6"/>
        <v>1840000</v>
      </c>
      <c r="J27" s="14">
        <f t="shared" si="2"/>
        <v>0.960326087</v>
      </c>
      <c r="K27" s="13">
        <f t="shared" si="3"/>
        <v>-73000</v>
      </c>
      <c r="L27" s="17" t="str">
        <f t="shared" si="4"/>
        <v>#DIV/0!</v>
      </c>
      <c r="M27" s="17">
        <f>'シフト'!N121</f>
        <v>0</v>
      </c>
      <c r="N27" s="17">
        <f>'シフト'!O121</f>
        <v>0</v>
      </c>
      <c r="O27" s="17">
        <f>'シフト'!P121</f>
        <v>0</v>
      </c>
      <c r="P27" s="9"/>
    </row>
    <row r="28" ht="18.0" customHeight="1">
      <c r="B28" s="31">
        <v>46078.0</v>
      </c>
      <c r="C28" s="32" t="s">
        <v>19</v>
      </c>
      <c r="D28" s="33">
        <f>'シフト'!J127</f>
        <v>0</v>
      </c>
      <c r="E28" s="33">
        <f>'シフト'!K127</f>
        <v>0</v>
      </c>
      <c r="F28" s="33">
        <f t="shared" si="1"/>
        <v>0</v>
      </c>
      <c r="G28" s="13">
        <f t="shared" si="5"/>
        <v>1767000</v>
      </c>
      <c r="H28" s="13">
        <v>80000.0</v>
      </c>
      <c r="I28" s="13">
        <f t="shared" si="6"/>
        <v>1920000</v>
      </c>
      <c r="J28" s="14">
        <f t="shared" si="2"/>
        <v>0.9203125</v>
      </c>
      <c r="K28" s="13">
        <f t="shared" si="3"/>
        <v>-153000</v>
      </c>
      <c r="L28" s="17">
        <f t="shared" si="4"/>
        <v>0</v>
      </c>
      <c r="M28" s="17">
        <f>'シフト'!N126</f>
        <v>0</v>
      </c>
      <c r="N28" s="17">
        <f>'シフト'!O126</f>
        <v>0</v>
      </c>
      <c r="O28" s="17">
        <f>'シフト'!P126</f>
        <v>1</v>
      </c>
      <c r="P28" s="9"/>
    </row>
    <row r="29" ht="18.0" customHeight="1">
      <c r="B29" s="31">
        <v>46079.0</v>
      </c>
      <c r="C29" s="32" t="s">
        <v>20</v>
      </c>
      <c r="D29" s="33">
        <f>'シフト'!J132</f>
        <v>0</v>
      </c>
      <c r="E29" s="33">
        <f>'シフト'!K132</f>
        <v>0</v>
      </c>
      <c r="F29" s="33">
        <f t="shared" si="1"/>
        <v>0</v>
      </c>
      <c r="G29" s="13">
        <f t="shared" si="5"/>
        <v>1767000</v>
      </c>
      <c r="H29" s="13">
        <v>80000.0</v>
      </c>
      <c r="I29" s="13">
        <f t="shared" si="6"/>
        <v>2000000</v>
      </c>
      <c r="J29" s="14">
        <f t="shared" si="2"/>
        <v>0.8835</v>
      </c>
      <c r="K29" s="13">
        <f t="shared" si="3"/>
        <v>-233000</v>
      </c>
      <c r="L29" s="17">
        <f t="shared" si="4"/>
        <v>0</v>
      </c>
      <c r="M29" s="17">
        <f>'シフト'!N131</f>
        <v>0</v>
      </c>
      <c r="N29" s="17">
        <f>'シフト'!O131</f>
        <v>0</v>
      </c>
      <c r="O29" s="17">
        <f>'シフト'!P131</f>
        <v>2</v>
      </c>
      <c r="P29" s="9"/>
    </row>
    <row r="30" ht="18.0" customHeight="1">
      <c r="B30" s="31">
        <v>46080.0</v>
      </c>
      <c r="C30" s="32" t="s">
        <v>21</v>
      </c>
      <c r="D30" s="33">
        <f>'シフト'!J137</f>
        <v>0</v>
      </c>
      <c r="E30" s="33">
        <f>'シフト'!K137</f>
        <v>0</v>
      </c>
      <c r="F30" s="33">
        <f t="shared" si="1"/>
        <v>0</v>
      </c>
      <c r="G30" s="13">
        <f t="shared" si="5"/>
        <v>1767000</v>
      </c>
      <c r="H30" s="13">
        <v>80000.0</v>
      </c>
      <c r="I30" s="13">
        <f t="shared" si="6"/>
        <v>2080000</v>
      </c>
      <c r="J30" s="14">
        <f t="shared" si="2"/>
        <v>0.8495192308</v>
      </c>
      <c r="K30" s="13">
        <f t="shared" si="3"/>
        <v>-313000</v>
      </c>
      <c r="L30" s="17">
        <f t="shared" si="4"/>
        <v>0</v>
      </c>
      <c r="M30" s="17">
        <f>'シフト'!N136</f>
        <v>0</v>
      </c>
      <c r="N30" s="17">
        <f>'シフト'!O136</f>
        <v>0</v>
      </c>
      <c r="O30" s="17">
        <f>'シフト'!P136</f>
        <v>1</v>
      </c>
      <c r="P30" s="9"/>
    </row>
    <row r="31" ht="18.0" customHeight="1">
      <c r="A31" s="35"/>
      <c r="B31" s="31">
        <v>46081.0</v>
      </c>
      <c r="C31" s="32" t="s">
        <v>22</v>
      </c>
      <c r="D31" s="33">
        <f>'シフト'!J142</f>
        <v>0</v>
      </c>
      <c r="E31" s="33">
        <f>'シフト'!K142</f>
        <v>0</v>
      </c>
      <c r="F31" s="33">
        <f t="shared" si="1"/>
        <v>0</v>
      </c>
      <c r="G31" s="13">
        <f t="shared" si="5"/>
        <v>1767000</v>
      </c>
      <c r="H31" s="13">
        <v>80000.0</v>
      </c>
      <c r="I31" s="13">
        <f t="shared" si="6"/>
        <v>2160000</v>
      </c>
      <c r="J31" s="14">
        <f t="shared" si="2"/>
        <v>0.8180555556</v>
      </c>
      <c r="K31" s="13">
        <f t="shared" si="3"/>
        <v>-393000</v>
      </c>
      <c r="L31" s="17" t="str">
        <f t="shared" si="4"/>
        <v>#DIV/0!</v>
      </c>
      <c r="M31" s="17">
        <f>'シフト'!N141</f>
        <v>0</v>
      </c>
      <c r="N31" s="17">
        <f>'シフト'!O141</f>
        <v>0</v>
      </c>
      <c r="O31" s="17">
        <f>'シフト'!P141</f>
        <v>0</v>
      </c>
      <c r="P31" s="9"/>
    </row>
    <row r="32" ht="18.0" customHeight="1">
      <c r="A32" s="35">
        <f>SUM(D25:D31)</f>
        <v>57000</v>
      </c>
      <c r="B32" s="36"/>
      <c r="C32" s="32"/>
      <c r="D32" s="33">
        <f>'シフト'!J147</f>
        <v>0</v>
      </c>
      <c r="E32" s="33">
        <f>'シフト'!K147</f>
        <v>0</v>
      </c>
      <c r="F32" s="33">
        <f t="shared" si="1"/>
        <v>0</v>
      </c>
      <c r="G32" s="13">
        <f t="shared" si="5"/>
        <v>1767000</v>
      </c>
      <c r="H32" s="13">
        <v>80000.0</v>
      </c>
      <c r="I32" s="13">
        <f t="shared" si="6"/>
        <v>2240000</v>
      </c>
      <c r="J32" s="14">
        <f t="shared" si="2"/>
        <v>0.7888392857</v>
      </c>
      <c r="K32" s="13">
        <f t="shared" si="3"/>
        <v>-473000</v>
      </c>
      <c r="L32" s="17" t="str">
        <f t="shared" si="4"/>
        <v>#DIV/0!</v>
      </c>
      <c r="M32" s="17">
        <f>'シフト'!N146</f>
        <v>0</v>
      </c>
      <c r="N32" s="17">
        <f>'シフト'!O146</f>
        <v>0</v>
      </c>
      <c r="O32" s="17">
        <f>'シフト'!P146</f>
        <v>0</v>
      </c>
      <c r="P32" s="9"/>
    </row>
    <row r="33" ht="18.0" customHeight="1">
      <c r="A33" s="35"/>
      <c r="B33" s="36"/>
      <c r="C33" s="32"/>
      <c r="D33" s="33">
        <f>'シフト'!J152</f>
        <v>0</v>
      </c>
      <c r="E33" s="33">
        <f>'シフト'!K152</f>
        <v>0</v>
      </c>
      <c r="F33" s="33">
        <f t="shared" si="1"/>
        <v>0</v>
      </c>
      <c r="G33" s="13">
        <f t="shared" si="5"/>
        <v>1767000</v>
      </c>
      <c r="H33" s="13">
        <v>80000.0</v>
      </c>
      <c r="I33" s="13">
        <f t="shared" si="6"/>
        <v>2320000</v>
      </c>
      <c r="J33" s="14">
        <f t="shared" si="2"/>
        <v>0.761637931</v>
      </c>
      <c r="K33" s="13">
        <f t="shared" si="3"/>
        <v>-553000</v>
      </c>
      <c r="L33" s="17" t="str">
        <f t="shared" si="4"/>
        <v>#DIV/0!</v>
      </c>
      <c r="M33" s="17">
        <f>'シフト'!N151</f>
        <v>0</v>
      </c>
      <c r="N33" s="17">
        <f>'シフト'!O151</f>
        <v>0</v>
      </c>
      <c r="O33" s="17">
        <f>'シフト'!P151</f>
        <v>0</v>
      </c>
      <c r="P33" s="9"/>
    </row>
    <row r="34" ht="18.0" customHeight="1">
      <c r="B34" s="36"/>
      <c r="C34" s="32"/>
      <c r="D34" s="33">
        <f>'シフト'!J157</f>
        <v>0</v>
      </c>
      <c r="E34" s="33">
        <f>'シフト'!K157</f>
        <v>0</v>
      </c>
      <c r="F34" s="33">
        <f t="shared" si="1"/>
        <v>0</v>
      </c>
      <c r="G34" s="13">
        <f>G33+D34</f>
        <v>1767000</v>
      </c>
      <c r="H34" s="13">
        <v>80000.0</v>
      </c>
      <c r="I34" s="13">
        <f>H34+I33</f>
        <v>2400000</v>
      </c>
      <c r="J34" s="14">
        <f t="shared" si="2"/>
        <v>0.73625</v>
      </c>
      <c r="K34" s="13">
        <f t="shared" si="3"/>
        <v>-633000</v>
      </c>
      <c r="L34" s="17">
        <f t="shared" si="4"/>
        <v>0</v>
      </c>
      <c r="M34" s="17">
        <f>'シフト'!N156</f>
        <v>0</v>
      </c>
      <c r="N34" s="17">
        <f>'シフト'!O156</f>
        <v>0</v>
      </c>
      <c r="O34" s="17">
        <f>'シフト'!P156</f>
        <v>1</v>
      </c>
      <c r="P34" s="9"/>
    </row>
    <row r="35" ht="18.0" customHeight="1">
      <c r="B35" s="37" t="s">
        <v>10</v>
      </c>
      <c r="C35" s="32"/>
      <c r="D35" s="19">
        <f t="shared" ref="D35:E35" si="7">SUM(D4:D34)</f>
        <v>1767000</v>
      </c>
      <c r="E35" s="19">
        <f t="shared" si="7"/>
        <v>985093</v>
      </c>
      <c r="F35" s="19">
        <f>SUM(D35-E35)</f>
        <v>781907</v>
      </c>
      <c r="G35" s="13">
        <f>SUM(G34)</f>
        <v>1767000</v>
      </c>
      <c r="H35" s="13">
        <f>SUM(H4:H34)</f>
        <v>2400000</v>
      </c>
      <c r="I35" s="13">
        <f>I34</f>
        <v>2400000</v>
      </c>
      <c r="J35" s="38"/>
      <c r="K35" s="38"/>
      <c r="L35" s="21">
        <f>AVERAGEIF(L4:L34,"&lt;&gt;#DIV/0!")</f>
        <v>13090.79212</v>
      </c>
      <c r="M35" s="21">
        <f t="shared" ref="M35:O35" si="8">SUM(M4:M34)</f>
        <v>13</v>
      </c>
      <c r="N35" s="21">
        <f t="shared" si="8"/>
        <v>68</v>
      </c>
      <c r="O35" s="21">
        <f t="shared" si="8"/>
        <v>14532</v>
      </c>
    </row>
    <row r="36" ht="18.0" customHeight="1">
      <c r="B36" s="39"/>
      <c r="C36" s="40"/>
      <c r="D36" s="24"/>
      <c r="E36" s="24"/>
      <c r="F36" s="24"/>
      <c r="G36" s="24"/>
      <c r="H36" s="24"/>
      <c r="I36" s="24">
        <f>I35+'【蒲田】売上'!I35+'【巣鴨】売上'!I35</f>
        <v>6740000</v>
      </c>
      <c r="L36" s="41"/>
      <c r="M36" s="41">
        <f>M35/(M35+N35+O35)</f>
        <v>0.0008896188325</v>
      </c>
      <c r="N36" s="41">
        <f>N35/(M35+N35+O35)</f>
        <v>0.004653390816</v>
      </c>
      <c r="O36" s="41">
        <f>O35/(M35+N35+O35)</f>
        <v>0.9944569904</v>
      </c>
    </row>
    <row r="37" ht="18.0" customHeight="1">
      <c r="B37" s="39"/>
      <c r="C37" s="26"/>
      <c r="D37" s="24"/>
      <c r="E37" s="24"/>
      <c r="F37" s="24"/>
      <c r="G37" s="24"/>
      <c r="H37" s="24"/>
      <c r="I37" s="24"/>
    </row>
    <row r="38" ht="18.0" customHeight="1">
      <c r="B38" s="39"/>
      <c r="C38" s="26"/>
      <c r="D38" s="24"/>
      <c r="E38" s="24"/>
      <c r="F38" s="24"/>
      <c r="G38" s="24"/>
      <c r="H38" s="24"/>
      <c r="I38" s="24"/>
    </row>
    <row r="39" ht="18.0" customHeight="1">
      <c r="B39" s="39"/>
      <c r="C39" s="26"/>
      <c r="D39" s="24"/>
      <c r="E39" s="24"/>
      <c r="F39" s="24"/>
      <c r="G39" s="24"/>
      <c r="H39" s="24"/>
      <c r="I39" s="24"/>
    </row>
    <row r="40" ht="18.0" customHeight="1">
      <c r="B40" s="39"/>
      <c r="C40" s="26"/>
      <c r="D40" s="24"/>
      <c r="E40" s="24"/>
      <c r="F40" s="24"/>
      <c r="G40" s="24"/>
      <c r="H40" s="24"/>
      <c r="I40" s="24"/>
    </row>
    <row r="41" ht="18.0" customHeight="1">
      <c r="B41" s="39"/>
      <c r="C41" s="26"/>
      <c r="D41" s="24"/>
      <c r="E41" s="24"/>
      <c r="F41" s="24"/>
      <c r="G41" s="24"/>
      <c r="H41" s="24"/>
      <c r="I41" s="24"/>
    </row>
    <row r="42" ht="18.0" customHeight="1">
      <c r="B42" s="39"/>
      <c r="C42" s="26"/>
      <c r="D42" s="24"/>
      <c r="E42" s="24"/>
      <c r="F42" s="24"/>
      <c r="G42" s="24"/>
      <c r="H42" s="24"/>
      <c r="I42" s="24"/>
    </row>
    <row r="43" ht="18.0" customHeight="1">
      <c r="B43" s="39"/>
      <c r="C43" s="26"/>
      <c r="D43" s="24"/>
      <c r="E43" s="24"/>
      <c r="F43" s="24"/>
      <c r="G43" s="24"/>
      <c r="H43" s="24"/>
      <c r="I43" s="24"/>
    </row>
    <row r="44" ht="18.0" customHeight="1">
      <c r="B44" s="39"/>
      <c r="C44" s="26"/>
      <c r="D44" s="24"/>
      <c r="E44" s="24"/>
      <c r="F44" s="24"/>
      <c r="G44" s="24"/>
      <c r="H44" s="24"/>
      <c r="I44" s="24"/>
    </row>
    <row r="45" ht="18.0" customHeight="1">
      <c r="B45" s="39"/>
      <c r="C45" s="26"/>
      <c r="D45" s="24"/>
      <c r="E45" s="24"/>
      <c r="F45" s="24"/>
      <c r="G45" s="24"/>
      <c r="H45" s="24"/>
      <c r="I45" s="24"/>
    </row>
    <row r="46" ht="18.0" customHeight="1">
      <c r="B46" s="39"/>
      <c r="C46" s="26"/>
      <c r="D46" s="24"/>
      <c r="E46" s="24"/>
      <c r="F46" s="24"/>
      <c r="G46" s="24"/>
      <c r="H46" s="24"/>
      <c r="I46" s="24"/>
    </row>
    <row r="47" ht="18.0" customHeight="1">
      <c r="B47" s="39"/>
      <c r="C47" s="26"/>
      <c r="D47" s="24"/>
      <c r="E47" s="24"/>
      <c r="F47" s="24"/>
      <c r="G47" s="24"/>
      <c r="H47" s="24"/>
      <c r="I47" s="24"/>
    </row>
    <row r="48" ht="18.0" customHeight="1">
      <c r="B48" s="39"/>
      <c r="C48" s="26"/>
      <c r="D48" s="24"/>
      <c r="E48" s="24"/>
      <c r="F48" s="24"/>
      <c r="G48" s="24"/>
      <c r="H48" s="24"/>
      <c r="I48" s="24"/>
    </row>
    <row r="49" ht="18.0" customHeight="1">
      <c r="B49" s="39"/>
      <c r="C49" s="26"/>
      <c r="D49" s="24"/>
      <c r="E49" s="24"/>
      <c r="F49" s="24"/>
      <c r="G49" s="24"/>
      <c r="H49" s="24"/>
      <c r="I49" s="24"/>
    </row>
    <row r="50" ht="18.0" customHeight="1">
      <c r="B50" s="39"/>
      <c r="C50" s="26"/>
      <c r="D50" s="24"/>
      <c r="E50" s="24"/>
      <c r="F50" s="24"/>
      <c r="G50" s="24"/>
      <c r="H50" s="24"/>
      <c r="I50" s="24"/>
    </row>
    <row r="51" ht="18.0" customHeight="1">
      <c r="B51" s="39"/>
      <c r="C51" s="26"/>
      <c r="D51" s="24"/>
      <c r="E51" s="24"/>
      <c r="F51" s="24"/>
      <c r="G51" s="24"/>
      <c r="H51" s="24"/>
      <c r="I51" s="24"/>
    </row>
    <row r="52" ht="18.0" customHeight="1">
      <c r="B52" s="39"/>
      <c r="C52" s="26"/>
      <c r="D52" s="24"/>
      <c r="E52" s="24"/>
      <c r="F52" s="24"/>
      <c r="G52" s="24"/>
      <c r="H52" s="24"/>
      <c r="I52" s="24"/>
    </row>
    <row r="53" ht="18.0" customHeight="1">
      <c r="B53" s="39"/>
      <c r="C53" s="26"/>
      <c r="D53" s="24"/>
      <c r="E53" s="24"/>
      <c r="F53" s="24"/>
      <c r="G53" s="24"/>
      <c r="H53" s="24"/>
      <c r="I53" s="24"/>
    </row>
    <row r="54" ht="18.0" customHeight="1">
      <c r="B54" s="39"/>
      <c r="C54" s="26"/>
      <c r="D54" s="24"/>
      <c r="E54" s="24"/>
      <c r="F54" s="24"/>
      <c r="G54" s="24"/>
      <c r="H54" s="24"/>
      <c r="I54" s="24"/>
    </row>
    <row r="55" ht="18.0" customHeight="1">
      <c r="B55" s="39"/>
      <c r="C55" s="26"/>
      <c r="D55" s="24"/>
      <c r="E55" s="24"/>
      <c r="F55" s="24"/>
      <c r="G55" s="24"/>
      <c r="H55" s="24"/>
      <c r="I55" s="24"/>
    </row>
    <row r="56" ht="18.0" customHeight="1">
      <c r="B56" s="39"/>
      <c r="C56" s="26"/>
      <c r="D56" s="24"/>
      <c r="E56" s="24"/>
      <c r="F56" s="24"/>
      <c r="G56" s="24"/>
      <c r="H56" s="24"/>
      <c r="I56" s="24"/>
    </row>
    <row r="57" ht="18.0" customHeight="1">
      <c r="B57" s="39"/>
      <c r="C57" s="26"/>
      <c r="D57" s="24"/>
      <c r="E57" s="24"/>
      <c r="F57" s="24"/>
      <c r="G57" s="24"/>
      <c r="H57" s="24"/>
      <c r="I57" s="24"/>
    </row>
    <row r="58" ht="18.0" customHeight="1">
      <c r="B58" s="39"/>
      <c r="C58" s="26"/>
      <c r="D58" s="24"/>
      <c r="E58" s="24"/>
      <c r="F58" s="24"/>
      <c r="G58" s="24"/>
      <c r="H58" s="24"/>
      <c r="I58" s="24"/>
    </row>
    <row r="59" ht="18.0" customHeight="1">
      <c r="B59" s="39"/>
      <c r="C59" s="26"/>
      <c r="D59" s="24"/>
      <c r="E59" s="24"/>
      <c r="F59" s="24"/>
      <c r="G59" s="24"/>
      <c r="H59" s="24"/>
      <c r="I59" s="24"/>
    </row>
    <row r="60" ht="18.0" customHeight="1">
      <c r="B60" s="39"/>
      <c r="C60" s="26"/>
      <c r="D60" s="24"/>
      <c r="E60" s="24"/>
      <c r="F60" s="24"/>
      <c r="G60" s="24"/>
      <c r="H60" s="24"/>
      <c r="I60" s="24"/>
    </row>
    <row r="61" ht="18.0" customHeight="1">
      <c r="B61" s="39"/>
      <c r="C61" s="26"/>
      <c r="D61" s="24"/>
      <c r="E61" s="24"/>
      <c r="F61" s="24"/>
      <c r="G61" s="24"/>
      <c r="H61" s="24"/>
      <c r="I61" s="24"/>
    </row>
    <row r="62" ht="18.0" customHeight="1">
      <c r="B62" s="39"/>
      <c r="C62" s="26"/>
      <c r="D62" s="24"/>
      <c r="E62" s="24"/>
      <c r="F62" s="24"/>
      <c r="G62" s="24"/>
      <c r="H62" s="24"/>
      <c r="I62" s="24"/>
    </row>
    <row r="63" ht="18.0" customHeight="1">
      <c r="B63" s="39"/>
      <c r="C63" s="26"/>
      <c r="D63" s="24"/>
      <c r="E63" s="24"/>
      <c r="F63" s="24"/>
      <c r="G63" s="24"/>
      <c r="H63" s="24"/>
      <c r="I63" s="24"/>
    </row>
    <row r="64" ht="18.0" customHeight="1">
      <c r="B64" s="39"/>
      <c r="C64" s="26"/>
      <c r="D64" s="24"/>
      <c r="E64" s="24"/>
      <c r="F64" s="24"/>
      <c r="G64" s="24"/>
      <c r="H64" s="24"/>
      <c r="I64" s="24"/>
    </row>
    <row r="65" ht="18.0" customHeight="1">
      <c r="B65" s="39"/>
      <c r="C65" s="26"/>
      <c r="D65" s="24"/>
      <c r="E65" s="24"/>
      <c r="F65" s="24"/>
      <c r="G65" s="24"/>
      <c r="H65" s="24"/>
      <c r="I65" s="24"/>
    </row>
    <row r="66" ht="18.0" customHeight="1">
      <c r="B66" s="39"/>
      <c r="C66" s="26"/>
      <c r="D66" s="24"/>
      <c r="E66" s="24"/>
      <c r="F66" s="24"/>
      <c r="G66" s="24"/>
      <c r="H66" s="24"/>
      <c r="I66" s="24"/>
    </row>
    <row r="67" ht="18.0" customHeight="1">
      <c r="B67" s="39"/>
      <c r="C67" s="26"/>
      <c r="D67" s="24"/>
      <c r="E67" s="24"/>
      <c r="F67" s="24"/>
      <c r="G67" s="24"/>
      <c r="H67" s="24"/>
      <c r="I67" s="24"/>
    </row>
    <row r="68" ht="18.0" customHeight="1">
      <c r="B68" s="39"/>
      <c r="C68" s="26"/>
      <c r="D68" s="24"/>
      <c r="E68" s="24"/>
      <c r="F68" s="24"/>
      <c r="G68" s="24"/>
      <c r="H68" s="24"/>
      <c r="I68" s="24"/>
    </row>
    <row r="69" ht="18.0" customHeight="1">
      <c r="B69" s="39"/>
      <c r="C69" s="26"/>
      <c r="D69" s="24"/>
      <c r="E69" s="24"/>
      <c r="F69" s="24"/>
      <c r="G69" s="24"/>
      <c r="H69" s="24"/>
      <c r="I69" s="24"/>
    </row>
    <row r="70" ht="18.0" customHeight="1">
      <c r="B70" s="39"/>
      <c r="C70" s="26"/>
      <c r="D70" s="24"/>
      <c r="E70" s="24"/>
      <c r="F70" s="24"/>
      <c r="G70" s="24"/>
      <c r="H70" s="24"/>
      <c r="I70" s="24"/>
    </row>
    <row r="71" ht="18.0" customHeight="1">
      <c r="B71" s="39"/>
      <c r="C71" s="26"/>
      <c r="D71" s="24"/>
      <c r="E71" s="24"/>
      <c r="F71" s="24"/>
      <c r="G71" s="24"/>
      <c r="H71" s="24"/>
      <c r="I71" s="24"/>
    </row>
    <row r="72" ht="18.0" customHeight="1">
      <c r="B72" s="39"/>
      <c r="C72" s="26"/>
      <c r="D72" s="24"/>
      <c r="E72" s="24"/>
      <c r="F72" s="24"/>
      <c r="G72" s="24"/>
      <c r="H72" s="24"/>
      <c r="I72" s="24"/>
    </row>
    <row r="73" ht="18.0" customHeight="1">
      <c r="B73" s="39"/>
      <c r="C73" s="26"/>
      <c r="D73" s="24"/>
      <c r="E73" s="24"/>
      <c r="F73" s="24"/>
      <c r="G73" s="24"/>
      <c r="H73" s="24"/>
      <c r="I73" s="24"/>
    </row>
    <row r="74" ht="18.0" customHeight="1">
      <c r="B74" s="39"/>
      <c r="C74" s="26"/>
      <c r="D74" s="24"/>
      <c r="E74" s="24"/>
      <c r="F74" s="24"/>
      <c r="G74" s="24"/>
      <c r="H74" s="24"/>
      <c r="I74" s="24"/>
    </row>
    <row r="75" ht="18.0" customHeight="1">
      <c r="B75" s="39"/>
      <c r="C75" s="26"/>
      <c r="D75" s="24"/>
      <c r="E75" s="24"/>
      <c r="F75" s="24"/>
      <c r="G75" s="24"/>
      <c r="H75" s="24"/>
      <c r="I75" s="24"/>
    </row>
    <row r="76" ht="18.0" customHeight="1">
      <c r="B76" s="39"/>
      <c r="C76" s="26"/>
      <c r="D76" s="24"/>
      <c r="E76" s="24"/>
      <c r="F76" s="24"/>
      <c r="G76" s="24"/>
      <c r="H76" s="24"/>
      <c r="I76" s="24"/>
    </row>
    <row r="77" ht="18.0" customHeight="1">
      <c r="B77" s="39"/>
      <c r="C77" s="26"/>
      <c r="D77" s="24"/>
      <c r="E77" s="24"/>
      <c r="F77" s="24"/>
      <c r="G77" s="24"/>
      <c r="H77" s="24"/>
      <c r="I77" s="24"/>
    </row>
    <row r="78" ht="18.0" customHeight="1">
      <c r="B78" s="39"/>
      <c r="C78" s="26"/>
      <c r="D78" s="24"/>
      <c r="E78" s="24"/>
      <c r="F78" s="24"/>
      <c r="G78" s="24"/>
      <c r="H78" s="24"/>
      <c r="I78" s="24"/>
    </row>
    <row r="79" ht="18.0" customHeight="1">
      <c r="B79" s="39"/>
      <c r="C79" s="26"/>
      <c r="D79" s="24"/>
      <c r="E79" s="24"/>
      <c r="F79" s="24"/>
      <c r="G79" s="24"/>
      <c r="H79" s="24"/>
      <c r="I79" s="24"/>
    </row>
    <row r="80" ht="18.0" customHeight="1">
      <c r="B80" s="39"/>
      <c r="C80" s="26"/>
      <c r="D80" s="24"/>
      <c r="E80" s="24"/>
      <c r="F80" s="24"/>
      <c r="G80" s="24"/>
      <c r="H80" s="24"/>
      <c r="I80" s="24"/>
    </row>
    <row r="81" ht="18.0" customHeight="1">
      <c r="B81" s="39"/>
      <c r="C81" s="26"/>
      <c r="D81" s="24"/>
      <c r="E81" s="24"/>
      <c r="F81" s="24"/>
      <c r="G81" s="24"/>
      <c r="H81" s="24"/>
      <c r="I81" s="24"/>
    </row>
    <row r="82" ht="18.0" customHeight="1">
      <c r="B82" s="39"/>
      <c r="C82" s="26"/>
      <c r="D82" s="24"/>
      <c r="E82" s="24"/>
      <c r="F82" s="24"/>
      <c r="G82" s="24"/>
      <c r="H82" s="24"/>
      <c r="I82" s="24"/>
    </row>
    <row r="83" ht="18.0" customHeight="1">
      <c r="B83" s="39"/>
      <c r="C83" s="26"/>
      <c r="D83" s="24"/>
      <c r="E83" s="24"/>
      <c r="F83" s="24"/>
      <c r="G83" s="24"/>
      <c r="H83" s="24"/>
      <c r="I83" s="24"/>
    </row>
    <row r="84" ht="18.0" customHeight="1">
      <c r="B84" s="39"/>
      <c r="C84" s="26"/>
      <c r="D84" s="24"/>
      <c r="E84" s="24"/>
      <c r="F84" s="24"/>
      <c r="G84" s="24"/>
      <c r="H84" s="24"/>
      <c r="I84" s="24"/>
    </row>
    <row r="85" ht="18.0" customHeight="1">
      <c r="B85" s="39"/>
      <c r="C85" s="26"/>
      <c r="D85" s="24"/>
      <c r="E85" s="24"/>
      <c r="F85" s="24"/>
      <c r="G85" s="24"/>
      <c r="H85" s="24"/>
      <c r="I85" s="24"/>
    </row>
    <row r="86" ht="18.0" customHeight="1">
      <c r="B86" s="39"/>
      <c r="C86" s="26"/>
      <c r="D86" s="24"/>
      <c r="E86" s="24"/>
      <c r="F86" s="24"/>
      <c r="G86" s="24"/>
      <c r="H86" s="24"/>
      <c r="I86" s="24"/>
    </row>
    <row r="87" ht="18.0" customHeight="1">
      <c r="B87" s="39"/>
      <c r="C87" s="26"/>
      <c r="D87" s="24"/>
      <c r="E87" s="24"/>
      <c r="F87" s="24"/>
      <c r="G87" s="24"/>
      <c r="H87" s="24"/>
      <c r="I87" s="24"/>
    </row>
    <row r="88" ht="18.0" customHeight="1">
      <c r="B88" s="39"/>
      <c r="C88" s="26"/>
      <c r="D88" s="24"/>
      <c r="E88" s="24"/>
      <c r="F88" s="24"/>
      <c r="G88" s="24"/>
      <c r="H88" s="24"/>
      <c r="I88" s="24"/>
    </row>
    <row r="89" ht="18.0" customHeight="1">
      <c r="B89" s="39"/>
      <c r="C89" s="26"/>
      <c r="D89" s="24"/>
      <c r="E89" s="24"/>
      <c r="F89" s="24"/>
      <c r="G89" s="24"/>
      <c r="H89" s="24"/>
      <c r="I89" s="24"/>
    </row>
    <row r="90" ht="18.0" customHeight="1">
      <c r="B90" s="39"/>
      <c r="C90" s="26"/>
      <c r="D90" s="24"/>
      <c r="E90" s="24"/>
      <c r="F90" s="24"/>
      <c r="G90" s="24"/>
      <c r="H90" s="24"/>
      <c r="I90" s="24"/>
    </row>
    <row r="91" ht="18.0" customHeight="1">
      <c r="B91" s="39"/>
      <c r="C91" s="26"/>
      <c r="D91" s="24"/>
      <c r="E91" s="24"/>
      <c r="F91" s="24"/>
      <c r="G91" s="24"/>
      <c r="H91" s="24"/>
      <c r="I91" s="24"/>
    </row>
    <row r="92" ht="18.0" customHeight="1">
      <c r="B92" s="39"/>
      <c r="C92" s="26"/>
      <c r="D92" s="24"/>
      <c r="E92" s="24"/>
      <c r="F92" s="24"/>
      <c r="G92" s="24"/>
      <c r="H92" s="24"/>
      <c r="I92" s="24"/>
    </row>
    <row r="93" ht="18.0" customHeight="1">
      <c r="B93" s="39"/>
      <c r="C93" s="26"/>
      <c r="D93" s="24"/>
      <c r="E93" s="24"/>
      <c r="F93" s="24"/>
      <c r="G93" s="24"/>
      <c r="H93" s="24"/>
      <c r="I93" s="24"/>
    </row>
    <row r="94" ht="18.0" customHeight="1">
      <c r="B94" s="39"/>
      <c r="C94" s="26"/>
      <c r="D94" s="24"/>
      <c r="E94" s="24"/>
      <c r="F94" s="24"/>
      <c r="G94" s="24"/>
      <c r="H94" s="24"/>
      <c r="I94" s="24"/>
    </row>
    <row r="95" ht="18.0" customHeight="1">
      <c r="B95" s="39"/>
      <c r="C95" s="26"/>
      <c r="D95" s="24"/>
      <c r="E95" s="24"/>
      <c r="F95" s="24"/>
      <c r="G95" s="24"/>
      <c r="H95" s="24"/>
      <c r="I95" s="24"/>
    </row>
    <row r="96" ht="18.0" customHeight="1">
      <c r="B96" s="39"/>
      <c r="C96" s="26"/>
      <c r="D96" s="24"/>
      <c r="E96" s="24"/>
      <c r="F96" s="24"/>
      <c r="G96" s="24"/>
      <c r="H96" s="24"/>
      <c r="I96" s="24"/>
    </row>
    <row r="97" ht="18.0" customHeight="1">
      <c r="B97" s="39"/>
      <c r="C97" s="26"/>
      <c r="D97" s="24"/>
      <c r="E97" s="24"/>
      <c r="F97" s="24"/>
      <c r="G97" s="24"/>
      <c r="H97" s="24"/>
      <c r="I97" s="24"/>
    </row>
    <row r="98" ht="18.0" customHeight="1">
      <c r="B98" s="39"/>
      <c r="C98" s="26"/>
      <c r="D98" s="24"/>
      <c r="E98" s="24"/>
      <c r="F98" s="24"/>
      <c r="G98" s="24"/>
      <c r="H98" s="24"/>
      <c r="I98" s="24"/>
    </row>
    <row r="99" ht="18.0" customHeight="1">
      <c r="B99" s="39"/>
      <c r="C99" s="26"/>
      <c r="D99" s="24"/>
      <c r="E99" s="24"/>
      <c r="F99" s="24"/>
      <c r="G99" s="24"/>
      <c r="H99" s="24"/>
      <c r="I99" s="24"/>
    </row>
    <row r="100" ht="18.0" customHeight="1">
      <c r="B100" s="39"/>
      <c r="C100" s="26"/>
      <c r="D100" s="24"/>
      <c r="E100" s="24"/>
      <c r="F100" s="24"/>
      <c r="G100" s="24"/>
      <c r="H100" s="24"/>
      <c r="I100" s="24"/>
    </row>
    <row r="101" ht="18.0" customHeight="1">
      <c r="B101" s="39"/>
      <c r="C101" s="26"/>
      <c r="D101" s="24"/>
      <c r="E101" s="24"/>
      <c r="F101" s="24"/>
      <c r="G101" s="24"/>
      <c r="H101" s="24"/>
      <c r="I101" s="24"/>
    </row>
    <row r="102" ht="18.0" customHeight="1">
      <c r="B102" s="39"/>
      <c r="C102" s="26"/>
      <c r="D102" s="24"/>
      <c r="E102" s="24"/>
      <c r="F102" s="24"/>
      <c r="G102" s="24"/>
      <c r="H102" s="24"/>
      <c r="I102" s="24"/>
    </row>
    <row r="103" ht="18.0" customHeight="1">
      <c r="B103" s="39"/>
      <c r="C103" s="26"/>
      <c r="D103" s="24"/>
      <c r="E103" s="24"/>
      <c r="F103" s="24"/>
      <c r="G103" s="24"/>
      <c r="H103" s="24"/>
      <c r="I103" s="24"/>
    </row>
    <row r="104" ht="18.0" customHeight="1">
      <c r="B104" s="39"/>
      <c r="C104" s="26"/>
      <c r="D104" s="24"/>
      <c r="E104" s="24"/>
      <c r="F104" s="24"/>
      <c r="G104" s="24"/>
      <c r="H104" s="24"/>
      <c r="I104" s="24"/>
    </row>
    <row r="105" ht="18.0" customHeight="1">
      <c r="B105" s="39"/>
      <c r="C105" s="26"/>
      <c r="D105" s="24"/>
      <c r="E105" s="24"/>
      <c r="F105" s="24"/>
      <c r="G105" s="24"/>
      <c r="H105" s="24"/>
      <c r="I105" s="24"/>
    </row>
    <row r="106" ht="18.0" customHeight="1">
      <c r="B106" s="39"/>
      <c r="C106" s="26"/>
      <c r="D106" s="24"/>
      <c r="E106" s="24"/>
      <c r="F106" s="24"/>
      <c r="G106" s="24"/>
      <c r="H106" s="24"/>
      <c r="I106" s="24"/>
    </row>
    <row r="107" ht="18.0" customHeight="1">
      <c r="B107" s="39"/>
      <c r="C107" s="26"/>
      <c r="D107" s="24"/>
      <c r="E107" s="24"/>
      <c r="F107" s="24"/>
      <c r="G107" s="24"/>
      <c r="H107" s="24"/>
      <c r="I107" s="24"/>
    </row>
    <row r="108" ht="18.0" customHeight="1">
      <c r="B108" s="39"/>
      <c r="C108" s="26"/>
      <c r="D108" s="24"/>
      <c r="E108" s="24"/>
      <c r="F108" s="24"/>
      <c r="G108" s="24"/>
      <c r="H108" s="24"/>
      <c r="I108" s="24"/>
    </row>
    <row r="109" ht="18.0" customHeight="1">
      <c r="B109" s="39"/>
      <c r="C109" s="26"/>
      <c r="D109" s="24"/>
      <c r="E109" s="24"/>
      <c r="F109" s="24"/>
      <c r="G109" s="24"/>
      <c r="H109" s="24"/>
      <c r="I109" s="24"/>
    </row>
    <row r="110" ht="18.0" customHeight="1">
      <c r="B110" s="39"/>
      <c r="C110" s="26"/>
      <c r="D110" s="24"/>
      <c r="E110" s="24"/>
      <c r="F110" s="24"/>
      <c r="G110" s="24"/>
      <c r="H110" s="24"/>
      <c r="I110" s="24"/>
    </row>
    <row r="111" ht="18.0" customHeight="1">
      <c r="B111" s="39"/>
      <c r="C111" s="26"/>
      <c r="D111" s="24"/>
      <c r="E111" s="24"/>
      <c r="F111" s="24"/>
      <c r="G111" s="24"/>
      <c r="H111" s="24"/>
      <c r="I111" s="24"/>
    </row>
    <row r="112" ht="18.0" customHeight="1">
      <c r="B112" s="39"/>
      <c r="C112" s="26"/>
      <c r="D112" s="24"/>
      <c r="E112" s="24"/>
      <c r="F112" s="24"/>
      <c r="G112" s="24"/>
      <c r="H112" s="24"/>
      <c r="I112" s="24"/>
    </row>
    <row r="113" ht="18.0" customHeight="1">
      <c r="B113" s="39"/>
      <c r="C113" s="26"/>
      <c r="D113" s="24"/>
      <c r="E113" s="24"/>
      <c r="F113" s="24"/>
      <c r="G113" s="24"/>
      <c r="H113" s="24"/>
      <c r="I113" s="24"/>
    </row>
    <row r="114" ht="18.0" customHeight="1">
      <c r="B114" s="39"/>
      <c r="C114" s="26"/>
      <c r="D114" s="24"/>
      <c r="E114" s="24"/>
      <c r="F114" s="24"/>
      <c r="G114" s="24"/>
      <c r="H114" s="24"/>
      <c r="I114" s="24"/>
    </row>
    <row r="115" ht="18.0" customHeight="1">
      <c r="B115" s="39"/>
      <c r="C115" s="26"/>
      <c r="D115" s="24"/>
      <c r="E115" s="24"/>
      <c r="F115" s="24"/>
      <c r="G115" s="24"/>
      <c r="H115" s="24"/>
      <c r="I115" s="24"/>
    </row>
    <row r="116" ht="18.0" customHeight="1">
      <c r="B116" s="39"/>
      <c r="C116" s="26"/>
      <c r="D116" s="24"/>
      <c r="E116" s="24"/>
      <c r="F116" s="24"/>
      <c r="G116" s="24"/>
      <c r="H116" s="24"/>
      <c r="I116" s="24"/>
    </row>
    <row r="117" ht="18.0" customHeight="1">
      <c r="B117" s="39"/>
      <c r="C117" s="26"/>
      <c r="D117" s="24"/>
      <c r="E117" s="24"/>
      <c r="F117" s="24"/>
      <c r="G117" s="24"/>
      <c r="H117" s="24"/>
      <c r="I117" s="24"/>
    </row>
    <row r="118" ht="18.0" customHeight="1">
      <c r="B118" s="39"/>
      <c r="C118" s="26"/>
      <c r="D118" s="24"/>
      <c r="E118" s="24"/>
      <c r="F118" s="24"/>
      <c r="G118" s="24"/>
      <c r="H118" s="24"/>
      <c r="I118" s="24"/>
    </row>
    <row r="119" ht="18.0" customHeight="1">
      <c r="B119" s="39"/>
      <c r="C119" s="26"/>
      <c r="D119" s="24"/>
      <c r="E119" s="24"/>
      <c r="F119" s="24"/>
      <c r="G119" s="24"/>
      <c r="H119" s="24"/>
      <c r="I119" s="24"/>
    </row>
    <row r="120" ht="18.0" customHeight="1">
      <c r="B120" s="39"/>
      <c r="C120" s="26"/>
      <c r="D120" s="24"/>
      <c r="E120" s="24"/>
      <c r="F120" s="24"/>
      <c r="G120" s="24"/>
      <c r="H120" s="24"/>
      <c r="I120" s="24"/>
    </row>
    <row r="121" ht="18.0" customHeight="1">
      <c r="B121" s="39"/>
      <c r="C121" s="26"/>
      <c r="D121" s="24"/>
      <c r="E121" s="24"/>
      <c r="F121" s="24"/>
      <c r="G121" s="24"/>
      <c r="H121" s="24"/>
      <c r="I121" s="24"/>
    </row>
    <row r="122" ht="18.0" customHeight="1">
      <c r="B122" s="39"/>
      <c r="C122" s="26"/>
      <c r="D122" s="24"/>
      <c r="E122" s="24"/>
      <c r="F122" s="24"/>
      <c r="G122" s="24"/>
      <c r="H122" s="24"/>
      <c r="I122" s="24"/>
    </row>
    <row r="123" ht="18.0" customHeight="1">
      <c r="B123" s="39"/>
      <c r="C123" s="26"/>
      <c r="D123" s="24"/>
      <c r="E123" s="24"/>
      <c r="F123" s="24"/>
      <c r="G123" s="24"/>
      <c r="H123" s="24"/>
      <c r="I123" s="24"/>
    </row>
    <row r="124" ht="18.0" customHeight="1">
      <c r="B124" s="39"/>
      <c r="C124" s="26"/>
      <c r="D124" s="24"/>
      <c r="E124" s="24"/>
      <c r="F124" s="24"/>
      <c r="G124" s="24"/>
      <c r="H124" s="24"/>
      <c r="I124" s="24"/>
    </row>
    <row r="125" ht="18.0" customHeight="1">
      <c r="B125" s="39"/>
      <c r="C125" s="26"/>
      <c r="D125" s="24"/>
      <c r="E125" s="24"/>
      <c r="F125" s="24"/>
      <c r="G125" s="24"/>
      <c r="H125" s="24"/>
      <c r="I125" s="24"/>
    </row>
    <row r="126" ht="18.0" customHeight="1">
      <c r="B126" s="39"/>
      <c r="C126" s="26"/>
      <c r="D126" s="24"/>
      <c r="E126" s="24"/>
      <c r="F126" s="24"/>
      <c r="G126" s="24"/>
      <c r="H126" s="24"/>
      <c r="I126" s="24"/>
    </row>
    <row r="127" ht="18.0" customHeight="1">
      <c r="B127" s="39"/>
      <c r="C127" s="26"/>
      <c r="D127" s="24"/>
      <c r="E127" s="24"/>
      <c r="F127" s="24"/>
      <c r="G127" s="24"/>
      <c r="H127" s="24"/>
      <c r="I127" s="24"/>
    </row>
    <row r="128" ht="18.0" customHeight="1">
      <c r="B128" s="39"/>
      <c r="C128" s="26"/>
      <c r="D128" s="24"/>
      <c r="E128" s="24"/>
      <c r="F128" s="24"/>
      <c r="G128" s="24"/>
      <c r="H128" s="24"/>
      <c r="I128" s="24"/>
    </row>
    <row r="129" ht="18.0" customHeight="1">
      <c r="B129" s="39"/>
      <c r="C129" s="26"/>
      <c r="D129" s="24"/>
      <c r="E129" s="24"/>
      <c r="F129" s="24"/>
      <c r="G129" s="24"/>
      <c r="H129" s="24"/>
      <c r="I129" s="24"/>
    </row>
    <row r="130" ht="18.0" customHeight="1">
      <c r="B130" s="39"/>
      <c r="C130" s="26"/>
      <c r="D130" s="24"/>
      <c r="E130" s="24"/>
      <c r="F130" s="24"/>
      <c r="G130" s="24"/>
      <c r="H130" s="24"/>
      <c r="I130" s="24"/>
    </row>
    <row r="131" ht="18.0" customHeight="1">
      <c r="B131" s="39"/>
      <c r="C131" s="26"/>
      <c r="D131" s="24"/>
      <c r="E131" s="24"/>
      <c r="F131" s="24"/>
      <c r="G131" s="24"/>
      <c r="H131" s="24"/>
      <c r="I131" s="24"/>
    </row>
    <row r="132" ht="18.0" customHeight="1">
      <c r="B132" s="39"/>
      <c r="C132" s="26"/>
      <c r="D132" s="24"/>
      <c r="E132" s="24"/>
      <c r="F132" s="24"/>
      <c r="G132" s="24"/>
      <c r="H132" s="24"/>
      <c r="I132" s="24"/>
    </row>
    <row r="133" ht="18.0" customHeight="1">
      <c r="B133" s="39"/>
      <c r="C133" s="26"/>
      <c r="D133" s="24"/>
      <c r="E133" s="24"/>
      <c r="F133" s="24"/>
      <c r="G133" s="24"/>
      <c r="H133" s="24"/>
      <c r="I133" s="24"/>
    </row>
    <row r="134" ht="18.0" customHeight="1">
      <c r="B134" s="39"/>
      <c r="C134" s="26"/>
      <c r="D134" s="24"/>
      <c r="E134" s="24"/>
      <c r="F134" s="24"/>
      <c r="G134" s="24"/>
      <c r="H134" s="24"/>
      <c r="I134" s="24"/>
    </row>
    <row r="135" ht="18.0" customHeight="1">
      <c r="B135" s="39"/>
      <c r="C135" s="26"/>
      <c r="D135" s="24"/>
      <c r="E135" s="24"/>
      <c r="F135" s="24"/>
      <c r="G135" s="24"/>
      <c r="H135" s="24"/>
      <c r="I135" s="24"/>
    </row>
    <row r="136" ht="18.0" customHeight="1">
      <c r="B136" s="39"/>
      <c r="C136" s="26"/>
      <c r="D136" s="24"/>
      <c r="E136" s="24"/>
      <c r="F136" s="24"/>
      <c r="G136" s="24"/>
      <c r="H136" s="24"/>
      <c r="I136" s="24"/>
    </row>
    <row r="137" ht="18.0" customHeight="1">
      <c r="B137" s="39"/>
      <c r="C137" s="26"/>
      <c r="D137" s="24"/>
      <c r="E137" s="24"/>
      <c r="F137" s="24"/>
      <c r="G137" s="24"/>
      <c r="H137" s="24"/>
      <c r="I137" s="24"/>
    </row>
    <row r="138" ht="18.0" customHeight="1">
      <c r="B138" s="39"/>
      <c r="C138" s="26"/>
      <c r="D138" s="24"/>
      <c r="E138" s="24"/>
      <c r="F138" s="24"/>
      <c r="G138" s="24"/>
      <c r="H138" s="24"/>
      <c r="I138" s="24"/>
    </row>
    <row r="139" ht="18.0" customHeight="1">
      <c r="B139" s="39"/>
      <c r="C139" s="26"/>
      <c r="D139" s="24"/>
      <c r="E139" s="24"/>
      <c r="F139" s="24"/>
      <c r="G139" s="24"/>
      <c r="H139" s="24"/>
      <c r="I139" s="24"/>
    </row>
    <row r="140" ht="18.0" customHeight="1">
      <c r="B140" s="39"/>
      <c r="C140" s="26"/>
      <c r="D140" s="24"/>
      <c r="E140" s="24"/>
      <c r="F140" s="24"/>
      <c r="G140" s="24"/>
      <c r="H140" s="24"/>
      <c r="I140" s="24"/>
    </row>
    <row r="141" ht="18.0" customHeight="1">
      <c r="B141" s="39"/>
      <c r="C141" s="26"/>
      <c r="D141" s="24"/>
      <c r="E141" s="24"/>
      <c r="F141" s="24"/>
      <c r="G141" s="24"/>
      <c r="H141" s="24"/>
      <c r="I141" s="24"/>
    </row>
    <row r="142" ht="18.0" customHeight="1">
      <c r="B142" s="39"/>
      <c r="C142" s="26"/>
      <c r="D142" s="24"/>
      <c r="E142" s="24"/>
      <c r="F142" s="24"/>
      <c r="G142" s="24"/>
      <c r="H142" s="24"/>
      <c r="I142" s="24"/>
    </row>
    <row r="143" ht="18.0" customHeight="1">
      <c r="B143" s="39"/>
      <c r="C143" s="26"/>
      <c r="D143" s="24"/>
      <c r="E143" s="24"/>
      <c r="F143" s="24"/>
      <c r="G143" s="24"/>
      <c r="H143" s="24"/>
      <c r="I143" s="24"/>
    </row>
    <row r="144" ht="18.0" customHeight="1">
      <c r="B144" s="39"/>
      <c r="C144" s="26"/>
      <c r="D144" s="24"/>
      <c r="E144" s="24"/>
      <c r="F144" s="24"/>
      <c r="G144" s="24"/>
      <c r="H144" s="24"/>
      <c r="I144" s="24"/>
    </row>
    <row r="145" ht="18.0" customHeight="1">
      <c r="B145" s="39"/>
      <c r="C145" s="26"/>
      <c r="D145" s="24"/>
      <c r="E145" s="24"/>
      <c r="F145" s="24"/>
      <c r="G145" s="24"/>
      <c r="H145" s="24"/>
      <c r="I145" s="24"/>
    </row>
    <row r="146" ht="18.0" customHeight="1">
      <c r="B146" s="39"/>
      <c r="C146" s="26"/>
      <c r="D146" s="24"/>
      <c r="E146" s="24"/>
      <c r="F146" s="24"/>
      <c r="G146" s="24"/>
      <c r="H146" s="24"/>
      <c r="I146" s="24"/>
    </row>
    <row r="147" ht="18.0" customHeight="1">
      <c r="B147" s="39"/>
      <c r="C147" s="26"/>
      <c r="D147" s="24"/>
      <c r="E147" s="24"/>
      <c r="F147" s="24"/>
      <c r="G147" s="24"/>
      <c r="H147" s="24"/>
      <c r="I147" s="24"/>
    </row>
    <row r="148" ht="18.0" customHeight="1">
      <c r="B148" s="39"/>
      <c r="C148" s="26"/>
      <c r="D148" s="24"/>
      <c r="E148" s="24"/>
      <c r="F148" s="24"/>
      <c r="G148" s="24"/>
      <c r="H148" s="24"/>
      <c r="I148" s="24"/>
    </row>
    <row r="149" ht="18.0" customHeight="1">
      <c r="B149" s="39"/>
      <c r="C149" s="26"/>
      <c r="D149" s="24"/>
      <c r="E149" s="24"/>
      <c r="F149" s="24"/>
      <c r="G149" s="24"/>
      <c r="H149" s="24"/>
      <c r="I149" s="24"/>
    </row>
    <row r="150" ht="18.0" customHeight="1">
      <c r="B150" s="39"/>
      <c r="C150" s="26"/>
      <c r="D150" s="24"/>
      <c r="E150" s="24"/>
      <c r="F150" s="24"/>
      <c r="G150" s="24"/>
      <c r="H150" s="24"/>
      <c r="I150" s="24"/>
    </row>
    <row r="151" ht="18.0" customHeight="1">
      <c r="B151" s="39"/>
      <c r="C151" s="26"/>
      <c r="D151" s="24"/>
      <c r="E151" s="24"/>
      <c r="F151" s="24"/>
      <c r="G151" s="24"/>
      <c r="H151" s="24"/>
      <c r="I151" s="24"/>
    </row>
    <row r="152" ht="18.0" customHeight="1">
      <c r="B152" s="39"/>
      <c r="C152" s="26"/>
      <c r="D152" s="24"/>
      <c r="E152" s="24"/>
      <c r="F152" s="24"/>
      <c r="G152" s="24"/>
      <c r="H152" s="24"/>
      <c r="I152" s="24"/>
    </row>
    <row r="153" ht="18.0" customHeight="1">
      <c r="B153" s="39"/>
      <c r="C153" s="26"/>
      <c r="D153" s="24"/>
      <c r="E153" s="24"/>
      <c r="F153" s="24"/>
      <c r="G153" s="24"/>
      <c r="H153" s="24"/>
      <c r="I153" s="24"/>
    </row>
    <row r="154" ht="18.0" customHeight="1">
      <c r="B154" s="39"/>
      <c r="C154" s="26"/>
      <c r="D154" s="24"/>
      <c r="E154" s="24"/>
      <c r="F154" s="24"/>
      <c r="G154" s="24"/>
      <c r="H154" s="24"/>
      <c r="I154" s="24"/>
    </row>
    <row r="155" ht="18.0" customHeight="1">
      <c r="B155" s="39"/>
      <c r="C155" s="26"/>
      <c r="D155" s="24"/>
      <c r="E155" s="24"/>
      <c r="F155" s="24"/>
      <c r="G155" s="24"/>
      <c r="H155" s="24"/>
      <c r="I155" s="24"/>
    </row>
    <row r="156" ht="18.0" customHeight="1">
      <c r="B156" s="39"/>
      <c r="C156" s="26"/>
      <c r="D156" s="24"/>
      <c r="E156" s="24"/>
      <c r="F156" s="24"/>
      <c r="G156" s="24"/>
      <c r="H156" s="24"/>
      <c r="I156" s="24"/>
    </row>
    <row r="157" ht="18.0" customHeight="1">
      <c r="B157" s="39"/>
      <c r="C157" s="26"/>
      <c r="D157" s="24"/>
      <c r="E157" s="24"/>
      <c r="F157" s="24"/>
      <c r="G157" s="24"/>
      <c r="H157" s="24"/>
      <c r="I157" s="24"/>
    </row>
    <row r="158" ht="18.0" customHeight="1">
      <c r="B158" s="39"/>
      <c r="C158" s="26"/>
      <c r="D158" s="24"/>
      <c r="E158" s="24"/>
      <c r="F158" s="24"/>
      <c r="G158" s="24"/>
      <c r="H158" s="24"/>
      <c r="I158" s="24"/>
    </row>
    <row r="159" ht="18.0" customHeight="1">
      <c r="B159" s="39"/>
      <c r="C159" s="26"/>
      <c r="D159" s="24"/>
      <c r="E159" s="24"/>
      <c r="F159" s="24"/>
      <c r="G159" s="24"/>
      <c r="H159" s="24"/>
      <c r="I159" s="24"/>
    </row>
    <row r="160" ht="18.0" customHeight="1">
      <c r="B160" s="39"/>
      <c r="C160" s="26"/>
      <c r="D160" s="24"/>
      <c r="E160" s="24"/>
      <c r="F160" s="24"/>
      <c r="G160" s="24"/>
      <c r="H160" s="24"/>
      <c r="I160" s="24"/>
    </row>
    <row r="161" ht="18.0" customHeight="1">
      <c r="B161" s="39"/>
      <c r="C161" s="26"/>
      <c r="D161" s="24"/>
      <c r="E161" s="24"/>
      <c r="F161" s="24"/>
      <c r="G161" s="24"/>
      <c r="H161" s="24"/>
      <c r="I161" s="24"/>
    </row>
    <row r="162" ht="18.0" customHeight="1">
      <c r="B162" s="39"/>
      <c r="C162" s="26"/>
      <c r="D162" s="24"/>
      <c r="E162" s="24"/>
      <c r="F162" s="24"/>
      <c r="G162" s="24"/>
      <c r="H162" s="24"/>
      <c r="I162" s="24"/>
    </row>
    <row r="163" ht="18.0" customHeight="1">
      <c r="B163" s="39"/>
      <c r="C163" s="26"/>
      <c r="D163" s="24"/>
      <c r="E163" s="24"/>
      <c r="F163" s="24"/>
      <c r="G163" s="24"/>
      <c r="H163" s="24"/>
      <c r="I163" s="24"/>
    </row>
    <row r="164" ht="18.0" customHeight="1">
      <c r="B164" s="39"/>
      <c r="C164" s="26"/>
      <c r="D164" s="24"/>
      <c r="E164" s="24"/>
      <c r="F164" s="24"/>
      <c r="G164" s="24"/>
      <c r="H164" s="24"/>
      <c r="I164" s="24"/>
    </row>
    <row r="165" ht="18.0" customHeight="1">
      <c r="B165" s="39"/>
      <c r="C165" s="26"/>
      <c r="D165" s="24"/>
      <c r="E165" s="24"/>
      <c r="F165" s="24"/>
      <c r="G165" s="24"/>
      <c r="H165" s="24"/>
      <c r="I165" s="24"/>
    </row>
    <row r="166" ht="18.0" customHeight="1">
      <c r="B166" s="39"/>
      <c r="C166" s="26"/>
      <c r="D166" s="24"/>
      <c r="E166" s="24"/>
      <c r="F166" s="24"/>
      <c r="G166" s="24"/>
      <c r="H166" s="24"/>
      <c r="I166" s="24"/>
    </row>
    <row r="167" ht="18.0" customHeight="1">
      <c r="B167" s="39"/>
      <c r="C167" s="26"/>
      <c r="D167" s="24"/>
      <c r="E167" s="24"/>
      <c r="F167" s="24"/>
      <c r="G167" s="24"/>
      <c r="H167" s="24"/>
      <c r="I167" s="24"/>
    </row>
    <row r="168" ht="18.0" customHeight="1">
      <c r="B168" s="39"/>
      <c r="C168" s="26"/>
      <c r="D168" s="24"/>
      <c r="E168" s="24"/>
      <c r="F168" s="24"/>
      <c r="G168" s="24"/>
      <c r="H168" s="24"/>
      <c r="I168" s="24"/>
    </row>
    <row r="169" ht="18.0" customHeight="1">
      <c r="B169" s="39"/>
      <c r="C169" s="26"/>
      <c r="D169" s="24"/>
      <c r="E169" s="24"/>
      <c r="F169" s="24"/>
      <c r="G169" s="24"/>
      <c r="H169" s="24"/>
      <c r="I169" s="24"/>
    </row>
    <row r="170" ht="18.0" customHeight="1">
      <c r="B170" s="39"/>
      <c r="C170" s="26"/>
      <c r="D170" s="24"/>
      <c r="E170" s="24"/>
      <c r="F170" s="24"/>
      <c r="G170" s="24"/>
      <c r="H170" s="24"/>
      <c r="I170" s="24"/>
    </row>
    <row r="171" ht="18.0" customHeight="1">
      <c r="B171" s="39"/>
      <c r="C171" s="26"/>
      <c r="D171" s="24"/>
      <c r="E171" s="24"/>
      <c r="F171" s="24"/>
      <c r="G171" s="24"/>
      <c r="H171" s="24"/>
      <c r="I171" s="24"/>
    </row>
    <row r="172" ht="18.0" customHeight="1">
      <c r="B172" s="39"/>
      <c r="C172" s="26"/>
      <c r="D172" s="24"/>
      <c r="E172" s="24"/>
      <c r="F172" s="24"/>
      <c r="G172" s="24"/>
      <c r="H172" s="24"/>
      <c r="I172" s="24"/>
    </row>
    <row r="173" ht="18.0" customHeight="1">
      <c r="B173" s="39"/>
      <c r="C173" s="26"/>
      <c r="D173" s="24"/>
      <c r="E173" s="24"/>
      <c r="F173" s="24"/>
      <c r="G173" s="24"/>
      <c r="H173" s="24"/>
      <c r="I173" s="24"/>
    </row>
    <row r="174" ht="18.0" customHeight="1">
      <c r="B174" s="39"/>
      <c r="C174" s="26"/>
      <c r="D174" s="24"/>
      <c r="E174" s="24"/>
      <c r="F174" s="24"/>
      <c r="G174" s="24"/>
      <c r="H174" s="24"/>
      <c r="I174" s="24"/>
    </row>
    <row r="175" ht="18.0" customHeight="1">
      <c r="B175" s="39"/>
      <c r="C175" s="26"/>
      <c r="D175" s="24"/>
      <c r="E175" s="24"/>
      <c r="F175" s="24"/>
      <c r="G175" s="24"/>
      <c r="H175" s="24"/>
      <c r="I175" s="24"/>
    </row>
    <row r="176" ht="18.0" customHeight="1">
      <c r="B176" s="39"/>
      <c r="C176" s="26"/>
      <c r="D176" s="24"/>
      <c r="E176" s="24"/>
      <c r="F176" s="24"/>
      <c r="G176" s="24"/>
      <c r="H176" s="24"/>
      <c r="I176" s="24"/>
    </row>
    <row r="177" ht="18.0" customHeight="1">
      <c r="B177" s="39"/>
      <c r="C177" s="26"/>
      <c r="D177" s="24"/>
      <c r="E177" s="24"/>
      <c r="F177" s="24"/>
      <c r="G177" s="24"/>
      <c r="H177" s="24"/>
      <c r="I177" s="24"/>
    </row>
    <row r="178" ht="18.0" customHeight="1">
      <c r="B178" s="39"/>
      <c r="C178" s="26"/>
      <c r="D178" s="24"/>
      <c r="E178" s="24"/>
      <c r="F178" s="24"/>
      <c r="G178" s="24"/>
      <c r="H178" s="24"/>
      <c r="I178" s="24"/>
    </row>
    <row r="179" ht="18.0" customHeight="1">
      <c r="B179" s="39"/>
      <c r="C179" s="26"/>
      <c r="D179" s="24"/>
      <c r="E179" s="24"/>
      <c r="F179" s="24"/>
      <c r="G179" s="24"/>
      <c r="H179" s="24"/>
      <c r="I179" s="24"/>
    </row>
    <row r="180" ht="18.0" customHeight="1">
      <c r="B180" s="39"/>
      <c r="C180" s="26"/>
      <c r="D180" s="24"/>
      <c r="E180" s="24"/>
      <c r="F180" s="24"/>
      <c r="G180" s="24"/>
      <c r="H180" s="24"/>
      <c r="I180" s="24"/>
    </row>
    <row r="181" ht="18.0" customHeight="1">
      <c r="B181" s="39"/>
      <c r="C181" s="26"/>
      <c r="D181" s="24"/>
      <c r="E181" s="24"/>
      <c r="F181" s="24"/>
      <c r="G181" s="24"/>
      <c r="H181" s="24"/>
      <c r="I181" s="24"/>
    </row>
    <row r="182" ht="18.0" customHeight="1">
      <c r="B182" s="39"/>
      <c r="C182" s="26"/>
      <c r="D182" s="24"/>
      <c r="E182" s="24"/>
      <c r="F182" s="24"/>
      <c r="G182" s="24"/>
      <c r="H182" s="24"/>
      <c r="I182" s="24"/>
    </row>
    <row r="183" ht="18.0" customHeight="1">
      <c r="B183" s="39"/>
      <c r="C183" s="26"/>
      <c r="D183" s="24"/>
      <c r="E183" s="24"/>
      <c r="F183" s="24"/>
      <c r="G183" s="24"/>
      <c r="H183" s="24"/>
      <c r="I183" s="24"/>
    </row>
    <row r="184" ht="18.0" customHeight="1">
      <c r="B184" s="39"/>
      <c r="C184" s="26"/>
      <c r="D184" s="24"/>
      <c r="E184" s="24"/>
      <c r="F184" s="24"/>
      <c r="G184" s="24"/>
      <c r="H184" s="24"/>
      <c r="I184" s="24"/>
    </row>
    <row r="185" ht="18.0" customHeight="1">
      <c r="B185" s="39"/>
      <c r="C185" s="26"/>
      <c r="D185" s="24"/>
      <c r="E185" s="24"/>
      <c r="F185" s="24"/>
      <c r="G185" s="24"/>
      <c r="H185" s="24"/>
      <c r="I185" s="24"/>
    </row>
    <row r="186" ht="18.0" customHeight="1">
      <c r="B186" s="39"/>
      <c r="C186" s="26"/>
      <c r="D186" s="24"/>
      <c r="E186" s="24"/>
      <c r="F186" s="24"/>
      <c r="G186" s="24"/>
      <c r="H186" s="24"/>
      <c r="I186" s="24"/>
    </row>
    <row r="187" ht="18.0" customHeight="1">
      <c r="B187" s="39"/>
      <c r="C187" s="26"/>
      <c r="D187" s="24"/>
      <c r="E187" s="24"/>
      <c r="F187" s="24"/>
      <c r="G187" s="24"/>
      <c r="H187" s="24"/>
      <c r="I187" s="24"/>
    </row>
    <row r="188" ht="18.0" customHeight="1">
      <c r="B188" s="39"/>
      <c r="C188" s="26"/>
      <c r="D188" s="24"/>
      <c r="E188" s="24"/>
      <c r="F188" s="24"/>
      <c r="G188" s="24"/>
      <c r="H188" s="24"/>
      <c r="I188" s="24"/>
    </row>
    <row r="189" ht="18.0" customHeight="1">
      <c r="B189" s="39"/>
      <c r="C189" s="26"/>
      <c r="D189" s="24"/>
      <c r="E189" s="24"/>
      <c r="F189" s="24"/>
      <c r="G189" s="24"/>
      <c r="H189" s="24"/>
      <c r="I189" s="24"/>
    </row>
    <row r="190" ht="18.0" customHeight="1">
      <c r="B190" s="39"/>
      <c r="C190" s="26"/>
      <c r="D190" s="24"/>
      <c r="E190" s="24"/>
      <c r="F190" s="24"/>
      <c r="G190" s="24"/>
      <c r="H190" s="24"/>
      <c r="I190" s="24"/>
    </row>
    <row r="191" ht="18.0" customHeight="1">
      <c r="B191" s="39"/>
      <c r="C191" s="26"/>
      <c r="D191" s="24"/>
      <c r="E191" s="24"/>
      <c r="F191" s="24"/>
      <c r="G191" s="24"/>
      <c r="H191" s="24"/>
      <c r="I191" s="24"/>
    </row>
    <row r="192" ht="18.0" customHeight="1">
      <c r="B192" s="39"/>
      <c r="C192" s="26"/>
      <c r="D192" s="24"/>
      <c r="E192" s="24"/>
      <c r="F192" s="24"/>
      <c r="G192" s="24"/>
      <c r="H192" s="24"/>
      <c r="I192" s="24"/>
    </row>
    <row r="193" ht="18.0" customHeight="1">
      <c r="B193" s="39"/>
      <c r="C193" s="26"/>
      <c r="D193" s="24"/>
      <c r="E193" s="24"/>
      <c r="F193" s="24"/>
      <c r="G193" s="24"/>
      <c r="H193" s="24"/>
      <c r="I193" s="24"/>
    </row>
    <row r="194" ht="18.0" customHeight="1">
      <c r="B194" s="39"/>
      <c r="C194" s="26"/>
      <c r="D194" s="24"/>
      <c r="E194" s="24"/>
      <c r="F194" s="24"/>
      <c r="G194" s="24"/>
      <c r="H194" s="24"/>
      <c r="I194" s="24"/>
    </row>
    <row r="195" ht="18.0" customHeight="1">
      <c r="B195" s="39"/>
      <c r="C195" s="26"/>
      <c r="D195" s="24"/>
      <c r="E195" s="24"/>
      <c r="F195" s="24"/>
      <c r="G195" s="24"/>
      <c r="H195" s="24"/>
      <c r="I195" s="24"/>
    </row>
    <row r="196" ht="18.0" customHeight="1">
      <c r="B196" s="39"/>
      <c r="C196" s="26"/>
      <c r="D196" s="24"/>
      <c r="E196" s="24"/>
      <c r="F196" s="24"/>
      <c r="G196" s="24"/>
      <c r="H196" s="24"/>
      <c r="I196" s="24"/>
    </row>
    <row r="197" ht="18.0" customHeight="1">
      <c r="B197" s="39"/>
      <c r="C197" s="26"/>
      <c r="D197" s="24"/>
      <c r="E197" s="24"/>
      <c r="F197" s="24"/>
      <c r="G197" s="24"/>
      <c r="H197" s="24"/>
      <c r="I197" s="24"/>
    </row>
    <row r="198" ht="18.0" customHeight="1">
      <c r="B198" s="39"/>
      <c r="C198" s="26"/>
      <c r="D198" s="24"/>
      <c r="E198" s="24"/>
      <c r="F198" s="24"/>
      <c r="G198" s="24"/>
      <c r="H198" s="24"/>
      <c r="I198" s="24"/>
    </row>
    <row r="199" ht="18.0" customHeight="1">
      <c r="B199" s="39"/>
      <c r="C199" s="26"/>
      <c r="D199" s="24"/>
      <c r="E199" s="24"/>
      <c r="F199" s="24"/>
      <c r="G199" s="24"/>
      <c r="H199" s="24"/>
      <c r="I199" s="24"/>
    </row>
    <row r="200" ht="18.0" customHeight="1">
      <c r="B200" s="39"/>
      <c r="C200" s="26"/>
      <c r="D200" s="24"/>
      <c r="E200" s="24"/>
      <c r="F200" s="24"/>
      <c r="G200" s="24"/>
      <c r="H200" s="24"/>
      <c r="I200" s="24"/>
    </row>
    <row r="201" ht="18.0" customHeight="1">
      <c r="B201" s="39"/>
      <c r="C201" s="26"/>
      <c r="D201" s="24"/>
      <c r="E201" s="24"/>
      <c r="F201" s="24"/>
      <c r="G201" s="24"/>
      <c r="H201" s="24"/>
      <c r="I201" s="24"/>
    </row>
    <row r="202" ht="18.0" customHeight="1">
      <c r="B202" s="39"/>
      <c r="C202" s="26"/>
      <c r="D202" s="24"/>
      <c r="E202" s="24"/>
      <c r="F202" s="24"/>
      <c r="G202" s="24"/>
      <c r="H202" s="24"/>
      <c r="I202" s="24"/>
    </row>
    <row r="203" ht="18.0" customHeight="1">
      <c r="B203" s="39"/>
      <c r="C203" s="26"/>
      <c r="D203" s="24"/>
      <c r="E203" s="24"/>
      <c r="F203" s="24"/>
      <c r="G203" s="24"/>
      <c r="H203" s="24"/>
      <c r="I203" s="24"/>
    </row>
    <row r="204" ht="18.0" customHeight="1">
      <c r="B204" s="39"/>
      <c r="C204" s="26"/>
      <c r="D204" s="24"/>
      <c r="E204" s="24"/>
      <c r="F204" s="24"/>
      <c r="G204" s="24"/>
      <c r="H204" s="24"/>
      <c r="I204" s="24"/>
    </row>
    <row r="205" ht="18.0" customHeight="1">
      <c r="B205" s="39"/>
      <c r="C205" s="26"/>
      <c r="D205" s="24"/>
      <c r="E205" s="24"/>
      <c r="F205" s="24"/>
      <c r="G205" s="24"/>
      <c r="H205" s="24"/>
      <c r="I205" s="24"/>
    </row>
    <row r="206" ht="18.0" customHeight="1">
      <c r="B206" s="39"/>
      <c r="C206" s="26"/>
      <c r="D206" s="24"/>
      <c r="E206" s="24"/>
      <c r="F206" s="24"/>
      <c r="G206" s="24"/>
      <c r="H206" s="24"/>
      <c r="I206" s="24"/>
    </row>
    <row r="207" ht="18.0" customHeight="1">
      <c r="B207" s="39"/>
      <c r="C207" s="26"/>
      <c r="D207" s="24"/>
      <c r="E207" s="24"/>
      <c r="F207" s="24"/>
      <c r="G207" s="24"/>
      <c r="H207" s="24"/>
      <c r="I207" s="24"/>
    </row>
    <row r="208" ht="18.0" customHeight="1">
      <c r="B208" s="39"/>
      <c r="C208" s="26"/>
      <c r="D208" s="24"/>
      <c r="E208" s="24"/>
      <c r="F208" s="24"/>
      <c r="G208" s="24"/>
      <c r="H208" s="24"/>
      <c r="I208" s="24"/>
    </row>
    <row r="209" ht="18.0" customHeight="1">
      <c r="B209" s="39"/>
      <c r="C209" s="26"/>
      <c r="D209" s="24"/>
      <c r="E209" s="24"/>
      <c r="F209" s="24"/>
      <c r="G209" s="24"/>
      <c r="H209" s="24"/>
      <c r="I209" s="24"/>
    </row>
    <row r="210" ht="18.0" customHeight="1">
      <c r="B210" s="39"/>
      <c r="C210" s="26"/>
      <c r="D210" s="24"/>
      <c r="E210" s="24"/>
      <c r="F210" s="24"/>
      <c r="G210" s="24"/>
      <c r="H210" s="24"/>
      <c r="I210" s="24"/>
    </row>
    <row r="211" ht="18.0" customHeight="1">
      <c r="B211" s="39"/>
      <c r="C211" s="26"/>
      <c r="D211" s="24"/>
      <c r="E211" s="24"/>
      <c r="F211" s="24"/>
      <c r="G211" s="24"/>
      <c r="H211" s="24"/>
      <c r="I211" s="24"/>
    </row>
    <row r="212" ht="18.0" customHeight="1">
      <c r="B212" s="39"/>
      <c r="C212" s="26"/>
      <c r="D212" s="24"/>
      <c r="E212" s="24"/>
      <c r="F212" s="24"/>
      <c r="G212" s="24"/>
      <c r="H212" s="24"/>
      <c r="I212" s="24"/>
    </row>
    <row r="213" ht="18.0" customHeight="1">
      <c r="B213" s="39"/>
      <c r="C213" s="26"/>
      <c r="D213" s="24"/>
      <c r="E213" s="24"/>
      <c r="F213" s="24"/>
      <c r="G213" s="24"/>
      <c r="H213" s="24"/>
      <c r="I213" s="24"/>
    </row>
    <row r="214" ht="18.0" customHeight="1">
      <c r="B214" s="39"/>
      <c r="C214" s="26"/>
      <c r="D214" s="24"/>
      <c r="E214" s="24"/>
      <c r="F214" s="24"/>
      <c r="G214" s="24"/>
      <c r="H214" s="24"/>
      <c r="I214" s="24"/>
    </row>
    <row r="215" ht="18.0" customHeight="1">
      <c r="B215" s="39"/>
      <c r="C215" s="26"/>
      <c r="D215" s="24"/>
      <c r="E215" s="24"/>
      <c r="F215" s="24"/>
      <c r="G215" s="24"/>
      <c r="H215" s="24"/>
      <c r="I215" s="24"/>
    </row>
    <row r="216" ht="18.0" customHeight="1">
      <c r="B216" s="39"/>
      <c r="C216" s="26"/>
      <c r="D216" s="24"/>
      <c r="E216" s="24"/>
      <c r="F216" s="24"/>
      <c r="G216" s="24"/>
      <c r="H216" s="24"/>
      <c r="I216" s="24"/>
    </row>
    <row r="217" ht="18.0" customHeight="1">
      <c r="B217" s="39"/>
      <c r="C217" s="26"/>
      <c r="D217" s="24"/>
      <c r="E217" s="24"/>
      <c r="F217" s="24"/>
      <c r="G217" s="24"/>
      <c r="H217" s="24"/>
      <c r="I217" s="24"/>
    </row>
    <row r="218" ht="18.0" customHeight="1">
      <c r="B218" s="39"/>
      <c r="C218" s="26"/>
      <c r="D218" s="24"/>
      <c r="E218" s="24"/>
      <c r="F218" s="24"/>
      <c r="G218" s="24"/>
      <c r="H218" s="24"/>
      <c r="I218" s="24"/>
    </row>
    <row r="219" ht="18.0" customHeight="1">
      <c r="B219" s="39"/>
      <c r="C219" s="26"/>
      <c r="D219" s="24"/>
      <c r="E219" s="24"/>
      <c r="F219" s="24"/>
      <c r="G219" s="24"/>
      <c r="H219" s="24"/>
      <c r="I219" s="24"/>
    </row>
    <row r="220" ht="18.0" customHeight="1">
      <c r="B220" s="39"/>
      <c r="C220" s="26"/>
      <c r="D220" s="24"/>
      <c r="E220" s="24"/>
      <c r="F220" s="24"/>
      <c r="G220" s="24"/>
      <c r="H220" s="24"/>
      <c r="I220" s="24"/>
    </row>
    <row r="221" ht="18.0" customHeight="1">
      <c r="B221" s="39"/>
      <c r="C221" s="26"/>
      <c r="D221" s="24"/>
      <c r="E221" s="24"/>
      <c r="F221" s="24"/>
      <c r="G221" s="24"/>
      <c r="H221" s="24"/>
      <c r="I221" s="24"/>
    </row>
    <row r="222" ht="18.0" customHeight="1">
      <c r="B222" s="39"/>
      <c r="C222" s="26"/>
      <c r="D222" s="24"/>
      <c r="E222" s="24"/>
      <c r="F222" s="24"/>
      <c r="G222" s="24"/>
      <c r="H222" s="24"/>
      <c r="I222" s="24"/>
    </row>
    <row r="223" ht="18.0" customHeight="1">
      <c r="B223" s="39"/>
      <c r="C223" s="26"/>
      <c r="D223" s="24"/>
      <c r="E223" s="24"/>
      <c r="F223" s="24"/>
      <c r="G223" s="24"/>
      <c r="H223" s="24"/>
      <c r="I223" s="24"/>
    </row>
    <row r="224" ht="18.0" customHeight="1">
      <c r="B224" s="39"/>
      <c r="C224" s="26"/>
      <c r="D224" s="24"/>
      <c r="E224" s="24"/>
      <c r="F224" s="24"/>
      <c r="G224" s="24"/>
      <c r="H224" s="24"/>
      <c r="I224" s="24"/>
    </row>
    <row r="225" ht="18.0" customHeight="1">
      <c r="B225" s="39"/>
      <c r="C225" s="26"/>
      <c r="D225" s="24"/>
      <c r="E225" s="24"/>
      <c r="F225" s="24"/>
      <c r="G225" s="24"/>
      <c r="H225" s="24"/>
      <c r="I225" s="24"/>
    </row>
    <row r="226" ht="18.0" customHeight="1">
      <c r="B226" s="39"/>
      <c r="C226" s="26"/>
      <c r="D226" s="24"/>
      <c r="E226" s="24"/>
      <c r="F226" s="24"/>
      <c r="G226" s="24"/>
      <c r="H226" s="24"/>
      <c r="I226" s="24"/>
    </row>
    <row r="227" ht="18.0" customHeight="1">
      <c r="B227" s="39"/>
      <c r="C227" s="26"/>
      <c r="D227" s="24"/>
      <c r="E227" s="24"/>
      <c r="F227" s="24"/>
      <c r="G227" s="24"/>
      <c r="H227" s="24"/>
      <c r="I227" s="24"/>
    </row>
    <row r="228" ht="18.0" customHeight="1">
      <c r="B228" s="39"/>
      <c r="C228" s="26"/>
      <c r="D228" s="24"/>
      <c r="E228" s="24"/>
      <c r="F228" s="24"/>
      <c r="G228" s="24"/>
      <c r="H228" s="24"/>
      <c r="I228" s="24"/>
    </row>
    <row r="229" ht="18.0" customHeight="1">
      <c r="B229" s="39"/>
      <c r="C229" s="26"/>
      <c r="D229" s="24"/>
      <c r="E229" s="24"/>
      <c r="F229" s="24"/>
      <c r="G229" s="24"/>
      <c r="H229" s="24"/>
      <c r="I229" s="24"/>
    </row>
    <row r="230" ht="18.0" customHeight="1">
      <c r="B230" s="39"/>
      <c r="C230" s="26"/>
      <c r="D230" s="24"/>
      <c r="E230" s="24"/>
      <c r="F230" s="24"/>
      <c r="G230" s="24"/>
      <c r="H230" s="24"/>
      <c r="I230" s="24"/>
    </row>
    <row r="231" ht="18.0" customHeight="1">
      <c r="B231" s="39"/>
      <c r="C231" s="26"/>
      <c r="D231" s="24"/>
      <c r="E231" s="24"/>
      <c r="F231" s="24"/>
      <c r="G231" s="24"/>
      <c r="H231" s="24"/>
      <c r="I231" s="24"/>
    </row>
    <row r="232" ht="18.0" customHeight="1">
      <c r="B232" s="39"/>
      <c r="C232" s="26"/>
      <c r="D232" s="24"/>
      <c r="E232" s="24"/>
      <c r="F232" s="24"/>
      <c r="G232" s="24"/>
      <c r="H232" s="24"/>
      <c r="I232" s="24"/>
    </row>
    <row r="233" ht="18.0" customHeight="1">
      <c r="B233" s="39"/>
      <c r="C233" s="26"/>
      <c r="D233" s="24"/>
      <c r="E233" s="24"/>
      <c r="F233" s="24"/>
      <c r="G233" s="24"/>
      <c r="H233" s="24"/>
      <c r="I233" s="24"/>
    </row>
    <row r="234" ht="18.0" customHeight="1">
      <c r="B234" s="39"/>
      <c r="C234" s="26"/>
      <c r="D234" s="24"/>
      <c r="E234" s="24"/>
      <c r="F234" s="24"/>
      <c r="G234" s="24"/>
      <c r="H234" s="24"/>
      <c r="I234" s="24"/>
    </row>
    <row r="235" ht="18.0" customHeight="1">
      <c r="B235" s="39"/>
      <c r="C235" s="26"/>
      <c r="D235" s="24"/>
      <c r="E235" s="24"/>
      <c r="F235" s="24"/>
      <c r="G235" s="24"/>
      <c r="H235" s="24"/>
      <c r="I235" s="2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6.29"/>
    <col customWidth="1" min="3" max="3" width="4.14"/>
    <col customWidth="1" min="4" max="4" width="12.86"/>
    <col customWidth="1" min="5" max="5" width="7.29"/>
    <col customWidth="1" min="6" max="6" width="6.86"/>
    <col customWidth="1" min="7" max="7" width="6.43"/>
    <col customWidth="1" min="8" max="8" width="3.0"/>
    <col customWidth="1" min="9" max="9" width="12.86"/>
    <col customWidth="1" min="10" max="10" width="7.43"/>
    <col customWidth="1" min="11" max="11" width="6.29"/>
    <col customWidth="1" min="12" max="12" width="6.0"/>
    <col customWidth="1" min="13" max="21" width="5.43"/>
  </cols>
  <sheetData>
    <row r="1" ht="22.5" customHeight="1">
      <c r="B1" s="42"/>
      <c r="C1" s="43"/>
      <c r="D1" s="44" t="s">
        <v>23</v>
      </c>
      <c r="E1" s="45"/>
      <c r="F1" s="45"/>
      <c r="G1" s="45"/>
      <c r="H1" s="45"/>
      <c r="I1" s="44" t="s">
        <v>24</v>
      </c>
      <c r="J1" s="45"/>
      <c r="K1" s="45"/>
      <c r="L1" s="45"/>
      <c r="M1" s="43"/>
      <c r="N1" s="43"/>
      <c r="O1" s="43"/>
      <c r="P1" s="43"/>
      <c r="Q1" s="43"/>
      <c r="R1" s="43"/>
      <c r="S1" s="43"/>
      <c r="T1" s="43"/>
    </row>
    <row r="2" ht="22.5" customHeight="1">
      <c r="B2" s="43"/>
      <c r="C2" s="43"/>
      <c r="D2" s="45"/>
      <c r="E2" s="45" t="s">
        <v>25</v>
      </c>
      <c r="F2" s="45" t="s">
        <v>3</v>
      </c>
      <c r="G2" s="45" t="s">
        <v>4</v>
      </c>
      <c r="H2" s="45"/>
      <c r="I2" s="45"/>
      <c r="J2" s="45" t="s">
        <v>25</v>
      </c>
      <c r="K2" s="45" t="s">
        <v>3</v>
      </c>
      <c r="L2" s="45" t="s">
        <v>4</v>
      </c>
      <c r="M2" s="43"/>
      <c r="N2" s="43"/>
      <c r="O2" s="43"/>
      <c r="P2" s="43"/>
      <c r="Q2" s="43"/>
      <c r="R2" s="43"/>
      <c r="S2" s="43"/>
      <c r="T2" s="43"/>
    </row>
    <row r="3" ht="22.5" customHeight="1">
      <c r="A3" s="46">
        <v>1.0</v>
      </c>
      <c r="B3" s="47" t="str">
        <f>'【大井町】売上'!C4</f>
        <v>日</v>
      </c>
      <c r="C3" s="48" t="s">
        <v>26</v>
      </c>
      <c r="D3" s="49" t="str">
        <f>'管理シフト'!D6</f>
        <v>えみり</v>
      </c>
      <c r="E3" s="50"/>
      <c r="F3" s="51"/>
      <c r="G3" s="52">
        <f>E3-F3</f>
        <v>0</v>
      </c>
      <c r="H3" s="53"/>
      <c r="I3" s="49" t="str">
        <f>'管理シフト'!G6</f>
        <v>みこ</v>
      </c>
      <c r="J3" s="50"/>
      <c r="K3" s="51"/>
      <c r="L3" s="52">
        <f>J3-K3</f>
        <v>0</v>
      </c>
      <c r="M3" s="54"/>
      <c r="N3" s="54"/>
      <c r="O3" s="54"/>
      <c r="P3" s="54"/>
      <c r="Q3" s="54"/>
      <c r="R3" s="54"/>
      <c r="S3" s="54"/>
      <c r="T3" s="54"/>
      <c r="U3" s="54"/>
    </row>
    <row r="4" ht="22.5" customHeight="1">
      <c r="A4" s="55"/>
      <c r="B4" s="56"/>
      <c r="C4" s="57"/>
      <c r="D4" s="58" t="s">
        <v>27</v>
      </c>
      <c r="E4" s="59"/>
      <c r="F4" s="59"/>
      <c r="G4" s="60"/>
      <c r="H4" s="61"/>
      <c r="I4" s="58" t="s">
        <v>27</v>
      </c>
      <c r="J4" s="59"/>
      <c r="K4" s="59"/>
      <c r="L4" s="60"/>
      <c r="M4" s="54"/>
      <c r="N4" s="54"/>
      <c r="O4" s="54"/>
      <c r="P4" s="54"/>
      <c r="Q4" s="54"/>
      <c r="R4" s="54"/>
      <c r="S4" s="54"/>
      <c r="T4" s="54"/>
      <c r="U4" s="54"/>
    </row>
    <row r="5" ht="22.5" customHeight="1">
      <c r="A5" s="55"/>
      <c r="B5" s="56"/>
      <c r="C5" s="48" t="s">
        <v>28</v>
      </c>
      <c r="D5" s="62" t="str">
        <f>'管理シフト'!D7</f>
        <v>しおん</v>
      </c>
      <c r="E5" s="50"/>
      <c r="F5" s="51"/>
      <c r="G5" s="52">
        <f>E5-F5</f>
        <v>0</v>
      </c>
      <c r="H5" s="53"/>
      <c r="I5" s="62" t="str">
        <f>'管理シフト'!G7</f>
        <v>あんず</v>
      </c>
      <c r="J5" s="50"/>
      <c r="K5" s="51"/>
      <c r="L5" s="52">
        <f>J5-K5</f>
        <v>0</v>
      </c>
      <c r="M5" s="54"/>
      <c r="N5" s="54" t="s">
        <v>13</v>
      </c>
      <c r="O5" s="54" t="s">
        <v>14</v>
      </c>
      <c r="P5" s="54" t="s">
        <v>15</v>
      </c>
      <c r="Q5" s="54"/>
      <c r="R5" s="54"/>
      <c r="S5" s="54"/>
      <c r="T5" s="54"/>
      <c r="U5" s="54"/>
    </row>
    <row r="6" ht="22.5" customHeight="1">
      <c r="A6" s="63"/>
      <c r="B6" s="64"/>
      <c r="C6" s="57"/>
      <c r="D6" s="58" t="s">
        <v>27</v>
      </c>
      <c r="E6" s="59"/>
      <c r="F6" s="59"/>
      <c r="G6" s="60"/>
      <c r="H6" s="61"/>
      <c r="I6" s="58" t="s">
        <v>27</v>
      </c>
      <c r="J6" s="59"/>
      <c r="K6" s="59"/>
      <c r="L6" s="60"/>
      <c r="M6" s="54"/>
      <c r="N6" s="54">
        <f t="shared" ref="N6:P6" si="1">E4+E6+J4+J6</f>
        <v>0</v>
      </c>
      <c r="O6" s="54">
        <f t="shared" si="1"/>
        <v>0</v>
      </c>
      <c r="P6" s="54">
        <f t="shared" si="1"/>
        <v>0</v>
      </c>
      <c r="Q6" s="54"/>
      <c r="R6" s="54"/>
      <c r="S6" s="54"/>
      <c r="T6" s="54"/>
      <c r="U6" s="54"/>
    </row>
    <row r="7" ht="22.5" customHeight="1">
      <c r="A7" s="43"/>
      <c r="B7" s="65"/>
      <c r="C7" s="45"/>
      <c r="D7" s="66"/>
      <c r="E7" s="67"/>
      <c r="F7" s="67"/>
      <c r="G7" s="68"/>
      <c r="H7" s="53"/>
      <c r="I7" s="66"/>
      <c r="J7" s="69">
        <f t="shared" ref="J7:K7" si="2">E3+E5+J3+J5</f>
        <v>0</v>
      </c>
      <c r="K7" s="69">
        <f t="shared" si="2"/>
        <v>0</v>
      </c>
      <c r="L7" s="69">
        <f>SUM(G3+G5+L3+L5+Q3+Q5)</f>
        <v>0</v>
      </c>
      <c r="M7" s="54"/>
      <c r="N7" s="54"/>
      <c r="O7" s="54"/>
      <c r="P7" s="54"/>
      <c r="Q7" s="54"/>
      <c r="R7" s="54"/>
      <c r="S7" s="54"/>
      <c r="T7" s="54"/>
      <c r="U7" s="54"/>
    </row>
    <row r="8" ht="22.5" customHeight="1">
      <c r="A8" s="46">
        <v>2.0</v>
      </c>
      <c r="B8" s="70" t="str">
        <f>'【大井町】売上'!C5</f>
        <v>月</v>
      </c>
      <c r="C8" s="48" t="s">
        <v>26</v>
      </c>
      <c r="D8" s="49" t="str">
        <f>'管理シフト'!D9</f>
        <v>ゆかり</v>
      </c>
      <c r="E8" s="50"/>
      <c r="F8" s="51"/>
      <c r="G8" s="52">
        <f>E8-F8</f>
        <v>0</v>
      </c>
      <c r="H8" s="53"/>
      <c r="I8" s="49" t="str">
        <f>'管理シフト'!G9</f>
        <v>かずは</v>
      </c>
      <c r="J8" s="50">
        <v>56000.0</v>
      </c>
      <c r="K8" s="51">
        <v>31000.0</v>
      </c>
      <c r="L8" s="52">
        <f>J8-K8</f>
        <v>25000</v>
      </c>
      <c r="M8" s="54"/>
      <c r="N8" s="54"/>
      <c r="O8" s="54"/>
      <c r="P8" s="54"/>
      <c r="Q8" s="54"/>
      <c r="R8" s="54"/>
      <c r="S8" s="54"/>
      <c r="T8" s="54"/>
      <c r="U8" s="54"/>
    </row>
    <row r="9" ht="22.5" customHeight="1">
      <c r="A9" s="55"/>
      <c r="B9" s="56"/>
      <c r="C9" s="57"/>
      <c r="D9" s="58" t="s">
        <v>27</v>
      </c>
      <c r="E9" s="59"/>
      <c r="F9" s="59"/>
      <c r="G9" s="60"/>
      <c r="H9" s="61"/>
      <c r="I9" s="58" t="s">
        <v>27</v>
      </c>
      <c r="J9" s="59">
        <v>0.0</v>
      </c>
      <c r="K9" s="59">
        <v>3.0</v>
      </c>
      <c r="L9" s="60">
        <v>0.0</v>
      </c>
      <c r="M9" s="54"/>
      <c r="N9" s="54"/>
      <c r="O9" s="54"/>
      <c r="P9" s="54"/>
      <c r="Q9" s="54"/>
      <c r="R9" s="54"/>
      <c r="S9" s="54"/>
      <c r="T9" s="54"/>
      <c r="U9" s="54"/>
    </row>
    <row r="10" ht="22.5" customHeight="1">
      <c r="A10" s="55"/>
      <c r="B10" s="56"/>
      <c r="C10" s="48" t="s">
        <v>28</v>
      </c>
      <c r="D10" s="62" t="str">
        <f>'管理シフト'!D10</f>
        <v>えみり</v>
      </c>
      <c r="E10" s="50">
        <v>18000.0</v>
      </c>
      <c r="F10" s="51">
        <v>10000.0</v>
      </c>
      <c r="G10" s="52">
        <f>E10-F10</f>
        <v>8000</v>
      </c>
      <c r="H10" s="53"/>
      <c r="I10" s="62" t="str">
        <f>'管理シフト'!G10</f>
        <v>すみれ</v>
      </c>
      <c r="J10" s="50"/>
      <c r="K10" s="51"/>
      <c r="L10" s="52">
        <f>J10-K10</f>
        <v>0</v>
      </c>
      <c r="M10" s="54"/>
      <c r="N10" s="54" t="s">
        <v>13</v>
      </c>
      <c r="O10" s="54" t="s">
        <v>14</v>
      </c>
      <c r="P10" s="54" t="s">
        <v>15</v>
      </c>
      <c r="Q10" s="54"/>
      <c r="R10" s="54"/>
      <c r="S10" s="54"/>
      <c r="T10" s="54"/>
      <c r="U10" s="54"/>
    </row>
    <row r="11" ht="22.5" customHeight="1">
      <c r="A11" s="63"/>
      <c r="B11" s="64"/>
      <c r="C11" s="57"/>
      <c r="D11" s="58" t="s">
        <v>27</v>
      </c>
      <c r="E11" s="59">
        <v>0.0</v>
      </c>
      <c r="F11" s="59">
        <v>1.0</v>
      </c>
      <c r="G11" s="60">
        <v>0.0</v>
      </c>
      <c r="H11" s="61"/>
      <c r="I11" s="58" t="s">
        <v>27</v>
      </c>
      <c r="J11" s="59"/>
      <c r="K11" s="59"/>
      <c r="L11" s="60"/>
      <c r="M11" s="54"/>
      <c r="N11" s="54">
        <f t="shared" ref="N11:P11" si="3">E9+E11+J9+J11</f>
        <v>0</v>
      </c>
      <c r="O11" s="54">
        <f t="shared" si="3"/>
        <v>4</v>
      </c>
      <c r="P11" s="54">
        <f t="shared" si="3"/>
        <v>0</v>
      </c>
      <c r="Q11" s="54"/>
      <c r="R11" s="54"/>
      <c r="S11" s="54"/>
      <c r="T11" s="54"/>
      <c r="U11" s="54"/>
    </row>
    <row r="12" ht="22.5" customHeight="1">
      <c r="A12" s="43"/>
      <c r="B12" s="65"/>
      <c r="C12" s="45"/>
      <c r="D12" s="66"/>
      <c r="E12" s="67"/>
      <c r="F12" s="67"/>
      <c r="G12" s="68"/>
      <c r="H12" s="53"/>
      <c r="I12" s="66"/>
      <c r="J12" s="69">
        <f t="shared" ref="J12:K12" si="4">E8+E10+J8+J10</f>
        <v>74000</v>
      </c>
      <c r="K12" s="69">
        <f t="shared" si="4"/>
        <v>41000</v>
      </c>
      <c r="L12" s="69">
        <f>SUM(G8+G10+L8+L10+Q8+Q10)</f>
        <v>33000</v>
      </c>
      <c r="M12" s="54"/>
      <c r="N12" s="54"/>
      <c r="O12" s="54"/>
      <c r="P12" s="54"/>
      <c r="Q12" s="54"/>
      <c r="R12" s="54"/>
      <c r="S12" s="54"/>
      <c r="T12" s="54"/>
      <c r="U12" s="54"/>
    </row>
    <row r="13" ht="22.5" customHeight="1">
      <c r="A13" s="46">
        <v>3.0</v>
      </c>
      <c r="B13" s="70" t="str">
        <f>'【大井町】売上'!C6</f>
        <v>火</v>
      </c>
      <c r="C13" s="48" t="s">
        <v>26</v>
      </c>
      <c r="D13" s="49" t="str">
        <f>'管理シフト'!D12</f>
        <v/>
      </c>
      <c r="E13" s="50">
        <v>26000.0</v>
      </c>
      <c r="F13" s="51">
        <v>13000.0</v>
      </c>
      <c r="G13" s="52">
        <f>E13-F13</f>
        <v>13000</v>
      </c>
      <c r="H13" s="53"/>
      <c r="I13" s="49" t="str">
        <f>'管理シフト'!G12</f>
        <v>ひより</v>
      </c>
      <c r="J13" s="50"/>
      <c r="K13" s="51"/>
      <c r="L13" s="52">
        <f>J13-K13</f>
        <v>0</v>
      </c>
      <c r="M13" s="54"/>
      <c r="N13" s="54"/>
      <c r="O13" s="54"/>
      <c r="P13" s="54"/>
      <c r="Q13" s="54"/>
      <c r="R13" s="54"/>
      <c r="S13" s="54"/>
      <c r="T13" s="54"/>
      <c r="U13" s="54"/>
    </row>
    <row r="14" ht="22.5" customHeight="1">
      <c r="A14" s="55"/>
      <c r="B14" s="56"/>
      <c r="C14" s="57"/>
      <c r="D14" s="58" t="s">
        <v>27</v>
      </c>
      <c r="E14" s="59">
        <v>0.0</v>
      </c>
      <c r="F14" s="59">
        <v>2.0</v>
      </c>
      <c r="G14" s="60">
        <v>0.0</v>
      </c>
      <c r="H14" s="61"/>
      <c r="I14" s="58" t="s">
        <v>27</v>
      </c>
      <c r="J14" s="59"/>
      <c r="K14" s="59"/>
      <c r="L14" s="60"/>
      <c r="M14" s="54"/>
      <c r="N14" s="54"/>
      <c r="O14" s="54"/>
      <c r="P14" s="54"/>
      <c r="Q14" s="54"/>
      <c r="R14" s="54"/>
      <c r="S14" s="54"/>
      <c r="T14" s="54"/>
      <c r="U14" s="54"/>
    </row>
    <row r="15" ht="22.5" customHeight="1">
      <c r="A15" s="55"/>
      <c r="B15" s="56"/>
      <c r="C15" s="48" t="s">
        <v>28</v>
      </c>
      <c r="D15" s="62" t="str">
        <f>'管理シフト'!D13</f>
        <v>しのぶ</v>
      </c>
      <c r="E15" s="50"/>
      <c r="F15" s="51"/>
      <c r="G15" s="52">
        <f>E15-F15</f>
        <v>0</v>
      </c>
      <c r="H15" s="53"/>
      <c r="I15" s="62" t="str">
        <f>'管理シフト'!G13</f>
        <v/>
      </c>
      <c r="J15" s="50">
        <v>64000.0</v>
      </c>
      <c r="K15" s="51">
        <v>34500.0</v>
      </c>
      <c r="L15" s="52">
        <f>J15-K15</f>
        <v>29500</v>
      </c>
      <c r="M15" s="54"/>
      <c r="N15" s="54" t="s">
        <v>13</v>
      </c>
      <c r="O15" s="54" t="s">
        <v>14</v>
      </c>
      <c r="P15" s="54" t="s">
        <v>15</v>
      </c>
      <c r="Q15" s="54"/>
      <c r="R15" s="54"/>
      <c r="S15" s="54"/>
      <c r="T15" s="54"/>
      <c r="U15" s="54"/>
    </row>
    <row r="16" ht="22.5" customHeight="1">
      <c r="A16" s="63"/>
      <c r="B16" s="64"/>
      <c r="C16" s="57"/>
      <c r="D16" s="58" t="s">
        <v>27</v>
      </c>
      <c r="E16" s="59"/>
      <c r="F16" s="59"/>
      <c r="G16" s="60"/>
      <c r="H16" s="61"/>
      <c r="I16" s="58" t="s">
        <v>27</v>
      </c>
      <c r="J16" s="59">
        <v>0.0</v>
      </c>
      <c r="K16" s="59">
        <v>2.0</v>
      </c>
      <c r="L16" s="60">
        <v>0.0</v>
      </c>
      <c r="M16" s="54">
        <v>1.0</v>
      </c>
      <c r="N16" s="54">
        <f t="shared" ref="N16:P16" si="5">E14+E16+J14+J16</f>
        <v>0</v>
      </c>
      <c r="O16" s="54">
        <f t="shared" si="5"/>
        <v>4</v>
      </c>
      <c r="P16" s="54">
        <f t="shared" si="5"/>
        <v>0</v>
      </c>
      <c r="Q16" s="54"/>
      <c r="R16" s="54"/>
      <c r="S16" s="54"/>
      <c r="T16" s="54"/>
      <c r="U16" s="54"/>
    </row>
    <row r="17" ht="22.5" customHeight="1">
      <c r="A17" s="43"/>
      <c r="B17" s="65"/>
      <c r="C17" s="45"/>
      <c r="D17" s="66"/>
      <c r="E17" s="67"/>
      <c r="F17" s="67"/>
      <c r="G17" s="68"/>
      <c r="H17" s="53"/>
      <c r="I17" s="66"/>
      <c r="J17" s="69">
        <f t="shared" ref="J17:K17" si="6">E13+E15+J13+J15</f>
        <v>90000</v>
      </c>
      <c r="K17" s="69">
        <f t="shared" si="6"/>
        <v>47500</v>
      </c>
      <c r="L17" s="69">
        <f>SUM(G13+G15+L13+L15+Q13+Q15)</f>
        <v>42500</v>
      </c>
      <c r="M17" s="54"/>
      <c r="N17" s="54"/>
      <c r="O17" s="54"/>
      <c r="P17" s="54"/>
      <c r="Q17" s="54"/>
      <c r="R17" s="54"/>
      <c r="S17" s="54"/>
      <c r="T17" s="54"/>
      <c r="U17" s="54"/>
    </row>
    <row r="18" ht="22.5" customHeight="1">
      <c r="A18" s="46">
        <v>4.0</v>
      </c>
      <c r="B18" s="70" t="str">
        <f>'【大井町】売上'!C7</f>
        <v>水</v>
      </c>
      <c r="C18" s="48" t="s">
        <v>26</v>
      </c>
      <c r="D18" s="49" t="str">
        <f>'管理シフト'!D15</f>
        <v/>
      </c>
      <c r="E18" s="50">
        <v>55000.0</v>
      </c>
      <c r="F18" s="51">
        <v>31000.0</v>
      </c>
      <c r="G18" s="52">
        <f>E18-F18</f>
        <v>24000</v>
      </c>
      <c r="H18" s="53"/>
      <c r="I18" s="49" t="str">
        <f>'管理シフト'!G15</f>
        <v>てるみ</v>
      </c>
      <c r="J18" s="50">
        <v>43000.0</v>
      </c>
      <c r="K18" s="51">
        <v>23500.0</v>
      </c>
      <c r="L18" s="52">
        <f>J18-K18</f>
        <v>19500</v>
      </c>
      <c r="M18" s="54"/>
      <c r="N18" s="54"/>
      <c r="O18" s="54"/>
      <c r="P18" s="54"/>
      <c r="Q18" s="54"/>
      <c r="R18" s="54"/>
      <c r="S18" s="54"/>
      <c r="T18" s="54"/>
      <c r="U18" s="54"/>
    </row>
    <row r="19" ht="22.5" customHeight="1">
      <c r="A19" s="55"/>
      <c r="B19" s="56"/>
      <c r="C19" s="57"/>
      <c r="D19" s="58" t="s">
        <v>27</v>
      </c>
      <c r="E19" s="59">
        <v>0.0</v>
      </c>
      <c r="F19" s="59">
        <v>2.0</v>
      </c>
      <c r="G19" s="60">
        <v>1.0</v>
      </c>
      <c r="H19" s="61"/>
      <c r="I19" s="58" t="s">
        <v>27</v>
      </c>
      <c r="J19" s="59">
        <v>2.0</v>
      </c>
      <c r="K19" s="59">
        <v>1.0</v>
      </c>
      <c r="L19" s="60">
        <v>0.0</v>
      </c>
      <c r="M19" s="54"/>
      <c r="N19" s="54"/>
      <c r="O19" s="54"/>
      <c r="P19" s="54"/>
      <c r="Q19" s="54"/>
      <c r="R19" s="54"/>
      <c r="S19" s="54"/>
      <c r="T19" s="54"/>
      <c r="U19" s="54"/>
    </row>
    <row r="20" ht="22.5" customHeight="1">
      <c r="A20" s="55"/>
      <c r="B20" s="56"/>
      <c r="C20" s="48" t="s">
        <v>28</v>
      </c>
      <c r="D20" s="62" t="str">
        <f>'管理シフト'!D16</f>
        <v>かすみ</v>
      </c>
      <c r="E20" s="50">
        <v>20000.0</v>
      </c>
      <c r="F20" s="51">
        <v>12000.0</v>
      </c>
      <c r="G20" s="52">
        <f>E20-F20</f>
        <v>8000</v>
      </c>
      <c r="H20" s="53"/>
      <c r="I20" s="62" t="str">
        <f>'管理シフト'!G16</f>
        <v>えりか</v>
      </c>
      <c r="J20" s="50"/>
      <c r="K20" s="51"/>
      <c r="L20" s="52">
        <f>J20-K20</f>
        <v>0</v>
      </c>
      <c r="M20" s="54"/>
      <c r="N20" s="54" t="s">
        <v>13</v>
      </c>
      <c r="O20" s="54" t="s">
        <v>14</v>
      </c>
      <c r="P20" s="54" t="s">
        <v>15</v>
      </c>
      <c r="Q20" s="54"/>
      <c r="R20" s="54"/>
      <c r="S20" s="54"/>
      <c r="T20" s="54"/>
      <c r="U20" s="54"/>
    </row>
    <row r="21" ht="22.5" customHeight="1">
      <c r="A21" s="63"/>
      <c r="B21" s="64"/>
      <c r="C21" s="57"/>
      <c r="D21" s="58" t="s">
        <v>27</v>
      </c>
      <c r="E21" s="59">
        <v>0.0</v>
      </c>
      <c r="F21" s="59">
        <v>0.0</v>
      </c>
      <c r="G21" s="60">
        <v>1.0</v>
      </c>
      <c r="H21" s="61"/>
      <c r="I21" s="58" t="s">
        <v>27</v>
      </c>
      <c r="J21" s="59"/>
      <c r="K21" s="59"/>
      <c r="L21" s="60"/>
      <c r="M21" s="54"/>
      <c r="N21" s="54">
        <f t="shared" ref="N21:P21" si="7">E19+E21+J19+J21</f>
        <v>2</v>
      </c>
      <c r="O21" s="54">
        <f t="shared" si="7"/>
        <v>3</v>
      </c>
      <c r="P21" s="54">
        <f t="shared" si="7"/>
        <v>2</v>
      </c>
      <c r="Q21" s="54"/>
      <c r="R21" s="54"/>
      <c r="S21" s="54"/>
      <c r="T21" s="54"/>
      <c r="U21" s="54"/>
    </row>
    <row r="22" ht="22.5" customHeight="1">
      <c r="A22" s="43"/>
      <c r="B22" s="65"/>
      <c r="C22" s="71"/>
      <c r="D22" s="66"/>
      <c r="E22" s="67"/>
      <c r="F22" s="67"/>
      <c r="G22" s="68"/>
      <c r="H22" s="53"/>
      <c r="I22" s="66"/>
      <c r="J22" s="69">
        <f t="shared" ref="J22:K22" si="8">E18+E20+J18+J20</f>
        <v>118000</v>
      </c>
      <c r="K22" s="69">
        <f t="shared" si="8"/>
        <v>66500</v>
      </c>
      <c r="L22" s="69">
        <f>SUM(G18+G20+L18+L20+Q18+Q20)</f>
        <v>51500</v>
      </c>
      <c r="M22" s="54"/>
      <c r="N22" s="54"/>
      <c r="O22" s="54"/>
      <c r="P22" s="54"/>
      <c r="Q22" s="54"/>
      <c r="R22" s="54"/>
      <c r="S22" s="54"/>
      <c r="T22" s="54"/>
      <c r="U22" s="54"/>
    </row>
    <row r="23" ht="22.5" customHeight="1">
      <c r="A23" s="46">
        <v>5.0</v>
      </c>
      <c r="B23" s="70" t="str">
        <f>'【大井町】売上'!C8</f>
        <v>木</v>
      </c>
      <c r="C23" s="72" t="s">
        <v>26</v>
      </c>
      <c r="D23" s="49" t="str">
        <f>'管理シフト'!D18</f>
        <v>ますみ</v>
      </c>
      <c r="E23" s="50">
        <v>95000.0</v>
      </c>
      <c r="F23" s="51">
        <v>57000.0</v>
      </c>
      <c r="G23" s="52">
        <f>E23-F23</f>
        <v>38000</v>
      </c>
      <c r="H23" s="53"/>
      <c r="I23" s="49" t="str">
        <f>'管理シフト'!G18</f>
        <v/>
      </c>
      <c r="J23" s="50"/>
      <c r="K23" s="51"/>
      <c r="L23" s="52">
        <f>J23-K23</f>
        <v>0</v>
      </c>
      <c r="M23" s="54"/>
      <c r="N23" s="54"/>
      <c r="O23" s="54"/>
      <c r="P23" s="54"/>
      <c r="Q23" s="54"/>
      <c r="R23" s="54"/>
      <c r="S23" s="54"/>
      <c r="T23" s="54"/>
      <c r="U23" s="54"/>
    </row>
    <row r="24" ht="22.5" customHeight="1">
      <c r="A24" s="55"/>
      <c r="B24" s="56"/>
      <c r="C24" s="57"/>
      <c r="D24" s="58" t="s">
        <v>27</v>
      </c>
      <c r="E24" s="59">
        <v>0.0</v>
      </c>
      <c r="F24" s="59">
        <v>2.0</v>
      </c>
      <c r="G24" s="60">
        <v>3.0</v>
      </c>
      <c r="H24" s="61"/>
      <c r="I24" s="58" t="s">
        <v>27</v>
      </c>
      <c r="J24" s="59"/>
      <c r="K24" s="59"/>
      <c r="L24" s="60"/>
      <c r="M24" s="54"/>
      <c r="N24" s="54"/>
      <c r="O24" s="54"/>
      <c r="P24" s="54"/>
      <c r="Q24" s="54"/>
      <c r="R24" s="54"/>
      <c r="S24" s="54"/>
      <c r="T24" s="54"/>
      <c r="U24" s="54"/>
    </row>
    <row r="25" ht="22.5" customHeight="1">
      <c r="A25" s="55"/>
      <c r="B25" s="56"/>
      <c r="C25" s="72" t="s">
        <v>28</v>
      </c>
      <c r="D25" s="62" t="str">
        <f>'管理シフト'!D19</f>
        <v>ののは</v>
      </c>
      <c r="E25" s="50"/>
      <c r="F25" s="51"/>
      <c r="G25" s="52">
        <f>E25-F25</f>
        <v>0</v>
      </c>
      <c r="H25" s="53"/>
      <c r="I25" s="62" t="str">
        <f>'管理シフト'!G19</f>
        <v>しおん</v>
      </c>
      <c r="J25" s="50">
        <v>36000.0</v>
      </c>
      <c r="K25" s="51">
        <v>20000.0</v>
      </c>
      <c r="L25" s="52">
        <f>J25-K25</f>
        <v>16000</v>
      </c>
      <c r="M25" s="54"/>
      <c r="N25" s="54" t="s">
        <v>13</v>
      </c>
      <c r="O25" s="54" t="s">
        <v>14</v>
      </c>
      <c r="P25" s="54" t="s">
        <v>15</v>
      </c>
      <c r="Q25" s="54"/>
      <c r="R25" s="54"/>
      <c r="S25" s="54"/>
      <c r="T25" s="54"/>
      <c r="U25" s="54"/>
    </row>
    <row r="26" ht="22.5" customHeight="1">
      <c r="A26" s="63"/>
      <c r="B26" s="64"/>
      <c r="C26" s="57"/>
      <c r="D26" s="58" t="s">
        <v>27</v>
      </c>
      <c r="E26" s="59"/>
      <c r="F26" s="59"/>
      <c r="G26" s="60"/>
      <c r="H26" s="61"/>
      <c r="I26" s="58" t="s">
        <v>27</v>
      </c>
      <c r="J26" s="59">
        <v>1.0</v>
      </c>
      <c r="K26" s="59">
        <v>1.0</v>
      </c>
      <c r="L26" s="60">
        <v>0.0</v>
      </c>
      <c r="M26" s="54"/>
      <c r="N26" s="54">
        <f t="shared" ref="N26:P26" si="9">E24+E26+J24+J26</f>
        <v>1</v>
      </c>
      <c r="O26" s="54">
        <f t="shared" si="9"/>
        <v>3</v>
      </c>
      <c r="P26" s="54">
        <f t="shared" si="9"/>
        <v>3</v>
      </c>
      <c r="Q26" s="54"/>
      <c r="R26" s="54"/>
      <c r="S26" s="54"/>
      <c r="T26" s="54"/>
      <c r="U26" s="54"/>
    </row>
    <row r="27" ht="22.5" customHeight="1">
      <c r="A27" s="43"/>
      <c r="B27" s="65"/>
      <c r="C27" s="71"/>
      <c r="D27" s="66"/>
      <c r="E27" s="67"/>
      <c r="F27" s="67"/>
      <c r="G27" s="68"/>
      <c r="H27" s="53"/>
      <c r="I27" s="66"/>
      <c r="J27" s="69">
        <f t="shared" ref="J27:K27" si="10">E23+E25+J23+J25</f>
        <v>131000</v>
      </c>
      <c r="K27" s="69">
        <f t="shared" si="10"/>
        <v>77000</v>
      </c>
      <c r="L27" s="69">
        <f>SUM(G23+G25+L23+L25+Q23+Q25)</f>
        <v>54000</v>
      </c>
      <c r="M27" s="54"/>
      <c r="N27" s="54"/>
      <c r="O27" s="54"/>
      <c r="P27" s="54"/>
      <c r="Q27" s="54"/>
      <c r="R27" s="54"/>
      <c r="S27" s="54"/>
      <c r="T27" s="54"/>
      <c r="U27" s="54"/>
    </row>
    <row r="28" ht="22.5" customHeight="1">
      <c r="A28" s="46">
        <v>6.0</v>
      </c>
      <c r="B28" s="70" t="str">
        <f>'【大井町】売上'!C9</f>
        <v>金</v>
      </c>
      <c r="C28" s="72" t="s">
        <v>26</v>
      </c>
      <c r="D28" s="49" t="str">
        <f>'管理シフト'!D21</f>
        <v/>
      </c>
      <c r="E28" s="50">
        <v>17000.0</v>
      </c>
      <c r="F28" s="51">
        <v>11000.0</v>
      </c>
      <c r="G28" s="52">
        <f>E28-F28</f>
        <v>6000</v>
      </c>
      <c r="H28" s="53"/>
      <c r="I28" s="49" t="str">
        <f>'管理シフト'!G21</f>
        <v>ちなつ</v>
      </c>
      <c r="J28" s="50"/>
      <c r="K28" s="51"/>
      <c r="L28" s="52">
        <f>J28-K28</f>
        <v>0</v>
      </c>
      <c r="M28" s="54"/>
      <c r="N28" s="54"/>
      <c r="O28" s="54"/>
      <c r="P28" s="54"/>
      <c r="Q28" s="54"/>
      <c r="R28" s="54"/>
      <c r="S28" s="54"/>
      <c r="T28" s="54"/>
      <c r="U28" s="54"/>
    </row>
    <row r="29" ht="22.5" customHeight="1">
      <c r="A29" s="55"/>
      <c r="B29" s="56"/>
      <c r="C29" s="57"/>
      <c r="D29" s="58" t="s">
        <v>27</v>
      </c>
      <c r="E29" s="59">
        <v>0.0</v>
      </c>
      <c r="F29" s="59">
        <v>0.0</v>
      </c>
      <c r="G29" s="60">
        <v>1.0</v>
      </c>
      <c r="H29" s="61"/>
      <c r="I29" s="58" t="s">
        <v>27</v>
      </c>
      <c r="J29" s="59"/>
      <c r="K29" s="59"/>
      <c r="L29" s="60"/>
      <c r="M29" s="54"/>
      <c r="N29" s="54"/>
      <c r="O29" s="54"/>
      <c r="P29" s="54"/>
      <c r="Q29" s="54"/>
      <c r="R29" s="54"/>
      <c r="S29" s="54"/>
      <c r="T29" s="54"/>
      <c r="U29" s="54"/>
    </row>
    <row r="30" ht="22.5" customHeight="1">
      <c r="A30" s="55"/>
      <c r="B30" s="56"/>
      <c r="C30" s="72" t="s">
        <v>28</v>
      </c>
      <c r="D30" s="62" t="str">
        <f>'管理シフト'!D22</f>
        <v>しずか</v>
      </c>
      <c r="E30" s="50">
        <v>14000.0</v>
      </c>
      <c r="F30" s="51">
        <v>8000.0</v>
      </c>
      <c r="G30" s="52">
        <f>E30-F30</f>
        <v>6000</v>
      </c>
      <c r="H30" s="53"/>
      <c r="I30" s="62" t="str">
        <f>'管理シフト'!G22</f>
        <v>すみれ</v>
      </c>
      <c r="J30" s="50">
        <v>26000.0</v>
      </c>
      <c r="K30" s="51">
        <v>14000.0</v>
      </c>
      <c r="L30" s="52">
        <f>J30-K30</f>
        <v>12000</v>
      </c>
      <c r="M30" s="54"/>
      <c r="N30" s="54" t="s">
        <v>13</v>
      </c>
      <c r="O30" s="54" t="s">
        <v>14</v>
      </c>
      <c r="P30" s="54" t="s">
        <v>15</v>
      </c>
      <c r="Q30" s="54"/>
      <c r="R30" s="54"/>
      <c r="S30" s="54"/>
      <c r="T30" s="54"/>
      <c r="U30" s="54"/>
    </row>
    <row r="31" ht="22.5" customHeight="1">
      <c r="A31" s="63"/>
      <c r="B31" s="64"/>
      <c r="C31" s="57"/>
      <c r="D31" s="58" t="s">
        <v>27</v>
      </c>
      <c r="E31" s="59">
        <v>0.0</v>
      </c>
      <c r="F31" s="59">
        <v>1.0</v>
      </c>
      <c r="G31" s="60">
        <v>0.0</v>
      </c>
      <c r="H31" s="61"/>
      <c r="I31" s="58" t="s">
        <v>27</v>
      </c>
      <c r="J31" s="59">
        <v>1.0</v>
      </c>
      <c r="K31" s="59">
        <v>1.0</v>
      </c>
      <c r="L31" s="60">
        <v>0.0</v>
      </c>
      <c r="M31" s="54"/>
      <c r="N31" s="54">
        <f t="shared" ref="N31:P31" si="11">E29+E31+J29+J31</f>
        <v>1</v>
      </c>
      <c r="O31" s="54">
        <f t="shared" si="11"/>
        <v>2</v>
      </c>
      <c r="P31" s="54">
        <f t="shared" si="11"/>
        <v>1</v>
      </c>
      <c r="Q31" s="54"/>
      <c r="R31" s="54"/>
      <c r="S31" s="54"/>
      <c r="T31" s="54"/>
      <c r="U31" s="54"/>
    </row>
    <row r="32" ht="22.5" customHeight="1">
      <c r="A32" s="43"/>
      <c r="B32" s="65"/>
      <c r="C32" s="71"/>
      <c r="D32" s="73"/>
      <c r="E32" s="67"/>
      <c r="F32" s="67"/>
      <c r="G32" s="68"/>
      <c r="H32" s="53"/>
      <c r="I32" s="73"/>
      <c r="J32" s="69">
        <f t="shared" ref="J32:K32" si="12">E28+E30+J28+J30</f>
        <v>57000</v>
      </c>
      <c r="K32" s="69">
        <f t="shared" si="12"/>
        <v>33000</v>
      </c>
      <c r="L32" s="69">
        <f>SUM(G28+G30+L28+L30+Q28+Q30)</f>
        <v>24000</v>
      </c>
      <c r="M32" s="54"/>
      <c r="N32" s="54"/>
      <c r="O32" s="54"/>
      <c r="P32" s="54"/>
      <c r="Q32" s="54"/>
      <c r="R32" s="54"/>
      <c r="S32" s="54"/>
      <c r="T32" s="54"/>
      <c r="U32" s="54"/>
    </row>
    <row r="33" ht="22.5" customHeight="1">
      <c r="A33" s="46">
        <v>7.0</v>
      </c>
      <c r="B33" s="70" t="str">
        <f>'【大井町】売上'!C10</f>
        <v>土</v>
      </c>
      <c r="C33" s="72" t="s">
        <v>26</v>
      </c>
      <c r="D33" s="49" t="str">
        <f>'管理シフト'!D24</f>
        <v>ゆかり</v>
      </c>
      <c r="E33" s="50">
        <v>61000.0</v>
      </c>
      <c r="F33" s="51">
        <v>33500.0</v>
      </c>
      <c r="G33" s="52">
        <f>E33-F33</f>
        <v>27500</v>
      </c>
      <c r="H33" s="53"/>
      <c r="I33" s="49" t="str">
        <f>'管理シフト'!G24</f>
        <v>くれは</v>
      </c>
      <c r="J33" s="50">
        <v>60000.0</v>
      </c>
      <c r="K33" s="51">
        <v>27000.0</v>
      </c>
      <c r="L33" s="52">
        <f>J33-K33</f>
        <v>33000</v>
      </c>
      <c r="M33" s="54"/>
      <c r="N33" s="54"/>
      <c r="O33" s="54"/>
      <c r="P33" s="54"/>
      <c r="Q33" s="54"/>
      <c r="R33" s="54"/>
      <c r="S33" s="54"/>
      <c r="T33" s="54"/>
      <c r="U33" s="54"/>
    </row>
    <row r="34" ht="22.5" customHeight="1">
      <c r="A34" s="55"/>
      <c r="B34" s="56"/>
      <c r="C34" s="57"/>
      <c r="D34" s="58" t="s">
        <v>27</v>
      </c>
      <c r="E34" s="59">
        <v>0.0</v>
      </c>
      <c r="F34" s="59">
        <v>3.0</v>
      </c>
      <c r="G34" s="60">
        <v>0.0</v>
      </c>
      <c r="H34" s="61"/>
      <c r="I34" s="58" t="s">
        <v>27</v>
      </c>
      <c r="J34" s="59">
        <v>2.0</v>
      </c>
      <c r="K34" s="59">
        <v>2.0</v>
      </c>
      <c r="L34" s="60">
        <v>0.0</v>
      </c>
      <c r="M34" s="54"/>
      <c r="N34" s="54"/>
      <c r="O34" s="54"/>
      <c r="P34" s="54"/>
      <c r="Q34" s="54"/>
      <c r="R34" s="54"/>
      <c r="S34" s="54"/>
      <c r="T34" s="54"/>
      <c r="U34" s="54"/>
    </row>
    <row r="35" ht="22.5" customHeight="1">
      <c r="A35" s="55"/>
      <c r="B35" s="56"/>
      <c r="C35" s="72" t="s">
        <v>28</v>
      </c>
      <c r="D35" s="62" t="str">
        <f>'管理シフト'!D25</f>
        <v>わか</v>
      </c>
      <c r="E35" s="50">
        <v>20000.0</v>
      </c>
      <c r="F35" s="51">
        <v>11000.0</v>
      </c>
      <c r="G35" s="52">
        <f>E35-F35</f>
        <v>9000</v>
      </c>
      <c r="H35" s="53"/>
      <c r="I35" s="62" t="str">
        <f>'管理シフト'!G25</f>
        <v/>
      </c>
      <c r="J35" s="50">
        <v>25000.0</v>
      </c>
      <c r="K35" s="51">
        <v>13500.0</v>
      </c>
      <c r="L35" s="52">
        <f>J35-K35</f>
        <v>11500</v>
      </c>
      <c r="M35" s="54"/>
      <c r="N35" s="54" t="s">
        <v>13</v>
      </c>
      <c r="O35" s="54" t="s">
        <v>14</v>
      </c>
      <c r="P35" s="54" t="s">
        <v>15</v>
      </c>
      <c r="Q35" s="54"/>
      <c r="R35" s="54"/>
      <c r="S35" s="54"/>
      <c r="T35" s="54"/>
      <c r="U35" s="54"/>
    </row>
    <row r="36" ht="22.5" customHeight="1">
      <c r="A36" s="63"/>
      <c r="B36" s="64"/>
      <c r="C36" s="57"/>
      <c r="D36" s="58" t="s">
        <v>27</v>
      </c>
      <c r="E36" s="59">
        <v>0.0</v>
      </c>
      <c r="F36" s="59">
        <v>1.0</v>
      </c>
      <c r="G36" s="60">
        <v>0.0</v>
      </c>
      <c r="H36" s="61"/>
      <c r="I36" s="58" t="s">
        <v>27</v>
      </c>
      <c r="J36" s="59">
        <v>1.0</v>
      </c>
      <c r="K36" s="59">
        <v>1.0</v>
      </c>
      <c r="L36" s="60">
        <v>0.0</v>
      </c>
      <c r="M36" s="54"/>
      <c r="N36" s="54">
        <f t="shared" ref="N36:P36" si="13">E34+E36+J34+J36</f>
        <v>3</v>
      </c>
      <c r="O36" s="54">
        <f t="shared" si="13"/>
        <v>7</v>
      </c>
      <c r="P36" s="54">
        <f t="shared" si="13"/>
        <v>0</v>
      </c>
      <c r="Q36" s="54"/>
      <c r="R36" s="54"/>
      <c r="S36" s="54"/>
      <c r="T36" s="54"/>
      <c r="U36" s="54"/>
    </row>
    <row r="37" ht="22.5" customHeight="1">
      <c r="A37" s="43"/>
      <c r="B37" s="65"/>
      <c r="C37" s="71"/>
      <c r="D37" s="62"/>
      <c r="E37" s="67"/>
      <c r="F37" s="67"/>
      <c r="G37" s="68"/>
      <c r="H37" s="53"/>
      <c r="I37" s="62"/>
      <c r="J37" s="69">
        <f t="shared" ref="J37:K37" si="14">E33+E35+J33+J35</f>
        <v>166000</v>
      </c>
      <c r="K37" s="69">
        <f t="shared" si="14"/>
        <v>85000</v>
      </c>
      <c r="L37" s="69">
        <f>SUM(G33+G35+L33+L35+Q33+Q35)</f>
        <v>81000</v>
      </c>
      <c r="M37" s="54"/>
      <c r="N37" s="54"/>
      <c r="O37" s="54"/>
      <c r="P37" s="54"/>
      <c r="Q37" s="54"/>
      <c r="R37" s="54"/>
      <c r="S37" s="54"/>
      <c r="T37" s="54"/>
      <c r="U37" s="54"/>
    </row>
    <row r="38" ht="22.5" customHeight="1">
      <c r="A38" s="46">
        <v>8.0</v>
      </c>
      <c r="B38" s="70" t="str">
        <f>'【大井町】売上'!C11</f>
        <v>日</v>
      </c>
      <c r="C38" s="72" t="s">
        <v>26</v>
      </c>
      <c r="D38" s="49" t="str">
        <f>'管理シフト'!D27</f>
        <v/>
      </c>
      <c r="E38" s="50">
        <v>43000.0</v>
      </c>
      <c r="F38" s="51">
        <v>23000.0</v>
      </c>
      <c r="G38" s="52">
        <f>E38-F38</f>
        <v>20000</v>
      </c>
      <c r="H38" s="53"/>
      <c r="I38" s="49" t="str">
        <f>'管理シフト'!G27</f>
        <v/>
      </c>
      <c r="J38" s="50">
        <v>36000.0</v>
      </c>
      <c r="K38" s="51">
        <v>21000.0</v>
      </c>
      <c r="L38" s="52">
        <f>J38-K38</f>
        <v>15000</v>
      </c>
      <c r="M38" s="54"/>
      <c r="N38" s="54"/>
      <c r="O38" s="54"/>
      <c r="P38" s="54"/>
      <c r="Q38" s="54"/>
      <c r="R38" s="54"/>
      <c r="S38" s="54"/>
      <c r="T38" s="54"/>
      <c r="U38" s="54"/>
    </row>
    <row r="39" ht="22.5" customHeight="1">
      <c r="A39" s="55"/>
      <c r="B39" s="56"/>
      <c r="C39" s="57"/>
      <c r="D39" s="58" t="s">
        <v>27</v>
      </c>
      <c r="E39" s="59">
        <v>0.0</v>
      </c>
      <c r="F39" s="59">
        <v>0.0</v>
      </c>
      <c r="G39" s="60">
        <v>3.0</v>
      </c>
      <c r="H39" s="61"/>
      <c r="I39" s="58" t="s">
        <v>27</v>
      </c>
      <c r="J39" s="59">
        <v>0.0</v>
      </c>
      <c r="K39" s="59">
        <v>1.0</v>
      </c>
      <c r="L39" s="60">
        <v>1.0</v>
      </c>
      <c r="M39" s="54"/>
      <c r="N39" s="54"/>
      <c r="O39" s="54"/>
      <c r="P39" s="54"/>
      <c r="Q39" s="54"/>
      <c r="R39" s="54"/>
      <c r="S39" s="54"/>
      <c r="T39" s="54"/>
      <c r="U39" s="54"/>
    </row>
    <row r="40" ht="22.5" customHeight="1">
      <c r="A40" s="55"/>
      <c r="B40" s="56"/>
      <c r="C40" s="72" t="s">
        <v>28</v>
      </c>
      <c r="D40" s="62" t="str">
        <f>'管理シフト'!D28</f>
        <v>ののは</v>
      </c>
      <c r="E40" s="50">
        <v>69000.0</v>
      </c>
      <c r="F40" s="51">
        <v>39500.0</v>
      </c>
      <c r="G40" s="52">
        <f>E40-F40</f>
        <v>29500</v>
      </c>
      <c r="H40" s="53"/>
      <c r="I40" s="62" t="str">
        <f>'管理シフト'!G28</f>
        <v>しおん</v>
      </c>
      <c r="J40" s="50"/>
      <c r="K40" s="51"/>
      <c r="L40" s="52">
        <f>J40-K40</f>
        <v>0</v>
      </c>
      <c r="M40" s="54"/>
      <c r="N40" s="54" t="s">
        <v>13</v>
      </c>
      <c r="O40" s="54" t="s">
        <v>14</v>
      </c>
      <c r="P40" s="54" t="s">
        <v>15</v>
      </c>
      <c r="Q40" s="54"/>
      <c r="R40" s="54"/>
      <c r="S40" s="54"/>
      <c r="T40" s="54"/>
      <c r="U40" s="54"/>
    </row>
    <row r="41" ht="22.5" customHeight="1">
      <c r="A41" s="63"/>
      <c r="B41" s="64"/>
      <c r="C41" s="57"/>
      <c r="D41" s="58" t="s">
        <v>27</v>
      </c>
      <c r="E41" s="59">
        <v>0.0</v>
      </c>
      <c r="F41" s="59">
        <v>3.0</v>
      </c>
      <c r="G41" s="60">
        <v>1.0</v>
      </c>
      <c r="H41" s="61"/>
      <c r="I41" s="58" t="s">
        <v>27</v>
      </c>
      <c r="J41" s="59"/>
      <c r="K41" s="59"/>
      <c r="L41" s="60"/>
      <c r="M41" s="54"/>
      <c r="N41" s="54">
        <f t="shared" ref="N41:P41" si="15">E39+E41+J39+J41</f>
        <v>0</v>
      </c>
      <c r="O41" s="54">
        <f t="shared" si="15"/>
        <v>4</v>
      </c>
      <c r="P41" s="54">
        <f t="shared" si="15"/>
        <v>5</v>
      </c>
      <c r="Q41" s="54"/>
      <c r="R41" s="54"/>
      <c r="S41" s="54"/>
      <c r="T41" s="54"/>
      <c r="U41" s="54"/>
    </row>
    <row r="42" ht="22.5" customHeight="1">
      <c r="A42" s="43"/>
      <c r="B42" s="65"/>
      <c r="C42" s="71"/>
      <c r="D42" s="73"/>
      <c r="E42" s="67"/>
      <c r="F42" s="67"/>
      <c r="G42" s="68"/>
      <c r="H42" s="53"/>
      <c r="I42" s="73"/>
      <c r="J42" s="69">
        <f t="shared" ref="J42:K42" si="16">E38+E40+J38+J40</f>
        <v>148000</v>
      </c>
      <c r="K42" s="69">
        <f t="shared" si="16"/>
        <v>83500</v>
      </c>
      <c r="L42" s="69">
        <f>SUM(G38+G40+L38+L40+Q38+Q40)</f>
        <v>64500</v>
      </c>
      <c r="M42" s="54"/>
      <c r="N42" s="54"/>
      <c r="O42" s="54"/>
      <c r="P42" s="54"/>
      <c r="Q42" s="54"/>
      <c r="R42" s="54"/>
      <c r="S42" s="54"/>
      <c r="T42" s="54"/>
      <c r="U42" s="54"/>
    </row>
    <row r="43" ht="22.5" customHeight="1">
      <c r="A43" s="46">
        <v>9.0</v>
      </c>
      <c r="B43" s="70" t="str">
        <f>'【大井町】売上'!C12</f>
        <v>月</v>
      </c>
      <c r="C43" s="72" t="s">
        <v>26</v>
      </c>
      <c r="D43" s="49" t="str">
        <f>'管理シフト'!D30</f>
        <v>ひより</v>
      </c>
      <c r="E43" s="50">
        <v>20000.0</v>
      </c>
      <c r="F43" s="51">
        <v>12000.0</v>
      </c>
      <c r="G43" s="52">
        <f>E43-F43</f>
        <v>8000</v>
      </c>
      <c r="H43" s="53"/>
      <c r="I43" s="49" t="str">
        <f>'管理シフト'!G30</f>
        <v>かずは</v>
      </c>
      <c r="J43" s="50">
        <v>0.0</v>
      </c>
      <c r="K43" s="51">
        <v>0.0</v>
      </c>
      <c r="L43" s="52">
        <f>J43-K43</f>
        <v>0</v>
      </c>
      <c r="M43" s="54"/>
      <c r="N43" s="54"/>
      <c r="O43" s="54"/>
      <c r="P43" s="54"/>
      <c r="Q43" s="54"/>
      <c r="R43" s="54"/>
      <c r="S43" s="54"/>
      <c r="T43" s="54"/>
      <c r="U43" s="54"/>
    </row>
    <row r="44" ht="22.5" customHeight="1">
      <c r="A44" s="55"/>
      <c r="B44" s="56"/>
      <c r="C44" s="57"/>
      <c r="D44" s="58" t="s">
        <v>27</v>
      </c>
      <c r="E44" s="59">
        <v>0.0</v>
      </c>
      <c r="F44" s="59">
        <v>0.0</v>
      </c>
      <c r="G44" s="60">
        <v>1.0</v>
      </c>
      <c r="H44" s="61"/>
      <c r="I44" s="58" t="s">
        <v>27</v>
      </c>
      <c r="J44" s="59"/>
      <c r="K44" s="59"/>
      <c r="L44" s="60"/>
      <c r="M44" s="54"/>
      <c r="N44" s="54"/>
      <c r="O44" s="54"/>
      <c r="P44" s="54"/>
      <c r="Q44" s="54"/>
      <c r="R44" s="54"/>
      <c r="S44" s="54"/>
      <c r="T44" s="54"/>
      <c r="U44" s="54"/>
    </row>
    <row r="45" ht="22.5" customHeight="1">
      <c r="A45" s="55"/>
      <c r="B45" s="56"/>
      <c r="C45" s="72" t="s">
        <v>28</v>
      </c>
      <c r="D45" s="62" t="str">
        <f>'管理シフト'!D31</f>
        <v>かすみ</v>
      </c>
      <c r="E45" s="50">
        <v>0.0</v>
      </c>
      <c r="F45" s="51">
        <v>0.0</v>
      </c>
      <c r="G45" s="52">
        <f>E45-F45</f>
        <v>0</v>
      </c>
      <c r="H45" s="53"/>
      <c r="I45" s="62" t="str">
        <f>'管理シフト'!G31</f>
        <v/>
      </c>
      <c r="J45" s="50">
        <v>35000.0</v>
      </c>
      <c r="K45" s="51">
        <v>19500.0</v>
      </c>
      <c r="L45" s="52">
        <f>J45-K45</f>
        <v>15500</v>
      </c>
      <c r="M45" s="54"/>
      <c r="N45" s="54" t="s">
        <v>13</v>
      </c>
      <c r="O45" s="54" t="s">
        <v>14</v>
      </c>
      <c r="P45" s="54" t="s">
        <v>15</v>
      </c>
      <c r="Q45" s="54"/>
      <c r="R45" s="54"/>
      <c r="S45" s="54"/>
      <c r="T45" s="54"/>
      <c r="U45" s="54"/>
    </row>
    <row r="46" ht="22.5" customHeight="1">
      <c r="A46" s="63"/>
      <c r="B46" s="64"/>
      <c r="C46" s="57"/>
      <c r="D46" s="58" t="s">
        <v>27</v>
      </c>
      <c r="E46" s="59"/>
      <c r="F46" s="59"/>
      <c r="G46" s="60"/>
      <c r="H46" s="61"/>
      <c r="I46" s="58" t="s">
        <v>27</v>
      </c>
      <c r="J46" s="59">
        <v>0.0</v>
      </c>
      <c r="K46" s="59">
        <v>2.0</v>
      </c>
      <c r="L46" s="60">
        <v>0.0</v>
      </c>
      <c r="M46" s="54"/>
      <c r="N46" s="54">
        <f t="shared" ref="N46:P46" si="17">E44+E46+J44+J46</f>
        <v>0</v>
      </c>
      <c r="O46" s="54">
        <f t="shared" si="17"/>
        <v>2</v>
      </c>
      <c r="P46" s="54">
        <f t="shared" si="17"/>
        <v>1</v>
      </c>
      <c r="Q46" s="54"/>
      <c r="R46" s="54"/>
      <c r="S46" s="54"/>
      <c r="T46" s="54"/>
      <c r="U46" s="54"/>
    </row>
    <row r="47" ht="22.5" customHeight="1">
      <c r="A47" s="43"/>
      <c r="B47" s="65"/>
      <c r="C47" s="71"/>
      <c r="D47" s="62"/>
      <c r="E47" s="67"/>
      <c r="F47" s="67"/>
      <c r="G47" s="68"/>
      <c r="H47" s="53"/>
      <c r="I47" s="62"/>
      <c r="J47" s="69">
        <f t="shared" ref="J47:K47" si="18">E43+E45+J43+J45</f>
        <v>55000</v>
      </c>
      <c r="K47" s="69">
        <f t="shared" si="18"/>
        <v>31500</v>
      </c>
      <c r="L47" s="69">
        <f>SUM(G43+G45+L43+L45+Q43+Q45)</f>
        <v>23500</v>
      </c>
      <c r="M47" s="54"/>
      <c r="N47" s="54"/>
      <c r="O47" s="54"/>
      <c r="P47" s="54"/>
      <c r="Q47" s="54"/>
      <c r="R47" s="54"/>
      <c r="S47" s="54"/>
      <c r="T47" s="54"/>
      <c r="U47" s="54"/>
    </row>
    <row r="48" ht="22.5" customHeight="1">
      <c r="A48" s="46">
        <v>10.0</v>
      </c>
      <c r="B48" s="70" t="str">
        <f>'【大井町】売上'!C13</f>
        <v>火</v>
      </c>
      <c r="C48" s="72" t="s">
        <v>26</v>
      </c>
      <c r="D48" s="49" t="str">
        <f>'管理シフト'!D33</f>
        <v>てるみ</v>
      </c>
      <c r="E48" s="50">
        <v>15000.0</v>
      </c>
      <c r="F48" s="51">
        <v>8500.0</v>
      </c>
      <c r="G48" s="52">
        <f>E48-F48</f>
        <v>6500</v>
      </c>
      <c r="H48" s="53"/>
      <c r="I48" s="49" t="str">
        <f>'管理シフト'!G33</f>
        <v/>
      </c>
      <c r="J48" s="50"/>
      <c r="K48" s="51"/>
      <c r="L48" s="52">
        <f>J48-K48</f>
        <v>0</v>
      </c>
      <c r="M48" s="54"/>
      <c r="N48" s="54"/>
      <c r="O48" s="54"/>
      <c r="P48" s="54"/>
      <c r="Q48" s="54"/>
      <c r="R48" s="54"/>
      <c r="S48" s="54"/>
      <c r="T48" s="54"/>
      <c r="U48" s="54"/>
    </row>
    <row r="49" ht="22.5" customHeight="1">
      <c r="A49" s="55"/>
      <c r="B49" s="56"/>
      <c r="C49" s="57"/>
      <c r="D49" s="58" t="s">
        <v>27</v>
      </c>
      <c r="E49" s="59">
        <v>0.0</v>
      </c>
      <c r="F49" s="59">
        <v>1.0</v>
      </c>
      <c r="G49" s="60">
        <v>0.0</v>
      </c>
      <c r="H49" s="61"/>
      <c r="I49" s="58" t="s">
        <v>27</v>
      </c>
      <c r="J49" s="59"/>
      <c r="K49" s="59"/>
      <c r="L49" s="60"/>
      <c r="M49" s="54"/>
      <c r="N49" s="54"/>
      <c r="O49" s="54"/>
      <c r="P49" s="54"/>
      <c r="Q49" s="54"/>
      <c r="R49" s="54"/>
      <c r="S49" s="54"/>
      <c r="T49" s="54"/>
      <c r="U49" s="54"/>
    </row>
    <row r="50" ht="22.5" customHeight="1">
      <c r="A50" s="55"/>
      <c r="B50" s="56"/>
      <c r="C50" s="72" t="s">
        <v>28</v>
      </c>
      <c r="D50" s="62" t="str">
        <f>'管理シフト'!D34</f>
        <v/>
      </c>
      <c r="E50" s="50">
        <v>17000.0</v>
      </c>
      <c r="F50" s="51">
        <v>9000.0</v>
      </c>
      <c r="G50" s="52">
        <f>E50-F50</f>
        <v>8000</v>
      </c>
      <c r="H50" s="53"/>
      <c r="I50" s="62" t="str">
        <f>'管理シフト'!G34</f>
        <v>しのぶ</v>
      </c>
      <c r="J50" s="50">
        <v>69000.0</v>
      </c>
      <c r="K50" s="51">
        <v>39000.0</v>
      </c>
      <c r="L50" s="52">
        <f>J50-K50</f>
        <v>30000</v>
      </c>
      <c r="M50" s="54"/>
      <c r="N50" s="54" t="s">
        <v>13</v>
      </c>
      <c r="O50" s="54" t="s">
        <v>14</v>
      </c>
      <c r="P50" s="54" t="s">
        <v>15</v>
      </c>
      <c r="Q50" s="54"/>
      <c r="R50" s="54"/>
      <c r="S50" s="54"/>
      <c r="T50" s="54"/>
      <c r="U50" s="54"/>
    </row>
    <row r="51" ht="22.5" customHeight="1">
      <c r="A51" s="63"/>
      <c r="B51" s="64"/>
      <c r="C51" s="57"/>
      <c r="D51" s="58" t="s">
        <v>27</v>
      </c>
      <c r="E51" s="59">
        <v>0.0</v>
      </c>
      <c r="F51" s="59">
        <v>0.0</v>
      </c>
      <c r="G51" s="60">
        <v>1.0</v>
      </c>
      <c r="H51" s="61"/>
      <c r="I51" s="58" t="s">
        <v>27</v>
      </c>
      <c r="J51" s="59">
        <v>0.0</v>
      </c>
      <c r="K51" s="59">
        <v>3.0</v>
      </c>
      <c r="L51" s="60">
        <v>1.0</v>
      </c>
      <c r="M51" s="54"/>
      <c r="N51" s="54">
        <f t="shared" ref="N51:P51" si="19">E49+E51+J49+J51</f>
        <v>0</v>
      </c>
      <c r="O51" s="54">
        <f t="shared" si="19"/>
        <v>4</v>
      </c>
      <c r="P51" s="54">
        <f t="shared" si="19"/>
        <v>2</v>
      </c>
      <c r="Q51" s="54"/>
      <c r="R51" s="54"/>
      <c r="S51" s="54"/>
      <c r="T51" s="54"/>
      <c r="U51" s="54"/>
    </row>
    <row r="52" ht="22.5" customHeight="1">
      <c r="A52" s="43"/>
      <c r="B52" s="65"/>
      <c r="C52" s="71"/>
      <c r="D52" s="73"/>
      <c r="E52" s="67"/>
      <c r="F52" s="67"/>
      <c r="G52" s="68"/>
      <c r="H52" s="53"/>
      <c r="I52" s="73"/>
      <c r="J52" s="69">
        <f t="shared" ref="J52:K52" si="20">E48+E50+J48+J50</f>
        <v>101000</v>
      </c>
      <c r="K52" s="69">
        <f t="shared" si="20"/>
        <v>56500</v>
      </c>
      <c r="L52" s="69">
        <f>SUM(G48+G50+L48+L50+Q48+Q50)</f>
        <v>44500</v>
      </c>
      <c r="M52" s="54"/>
      <c r="N52" s="54"/>
      <c r="O52" s="54"/>
      <c r="P52" s="54"/>
      <c r="Q52" s="54"/>
      <c r="R52" s="54"/>
      <c r="S52" s="54"/>
      <c r="T52" s="54"/>
      <c r="U52" s="54"/>
    </row>
    <row r="53" ht="22.5" customHeight="1">
      <c r="A53" s="46">
        <v>11.0</v>
      </c>
      <c r="B53" s="70" t="str">
        <f>'【大井町】売上'!C14</f>
        <v>水</v>
      </c>
      <c r="C53" s="72" t="s">
        <v>26</v>
      </c>
      <c r="D53" s="49" t="str">
        <f>'管理シフト'!D36</f>
        <v/>
      </c>
      <c r="E53" s="50"/>
      <c r="F53" s="51"/>
      <c r="G53" s="52">
        <f>E53-F53</f>
        <v>0</v>
      </c>
      <c r="H53" s="53"/>
      <c r="I53" s="49" t="str">
        <f>'管理シフト'!G36</f>
        <v/>
      </c>
      <c r="J53" s="50">
        <v>15000.0</v>
      </c>
      <c r="K53" s="51">
        <v>8500.0</v>
      </c>
      <c r="L53" s="52">
        <f>J53-K53</f>
        <v>6500</v>
      </c>
      <c r="M53" s="54"/>
      <c r="N53" s="54"/>
      <c r="O53" s="54"/>
      <c r="P53" s="54"/>
      <c r="Q53" s="54"/>
      <c r="R53" s="54"/>
      <c r="S53" s="54"/>
      <c r="T53" s="54"/>
      <c r="U53" s="54"/>
    </row>
    <row r="54" ht="22.5" customHeight="1">
      <c r="A54" s="55"/>
      <c r="B54" s="56"/>
      <c r="C54" s="57"/>
      <c r="D54" s="58" t="s">
        <v>27</v>
      </c>
      <c r="E54" s="59"/>
      <c r="F54" s="59"/>
      <c r="G54" s="60"/>
      <c r="H54" s="61"/>
      <c r="I54" s="58" t="s">
        <v>27</v>
      </c>
      <c r="J54" s="59">
        <v>0.0</v>
      </c>
      <c r="K54" s="59">
        <v>1.0</v>
      </c>
      <c r="L54" s="60">
        <v>0.0</v>
      </c>
      <c r="M54" s="54"/>
      <c r="N54" s="54"/>
      <c r="O54" s="54"/>
      <c r="P54" s="54"/>
      <c r="Q54" s="54"/>
      <c r="R54" s="54"/>
      <c r="S54" s="54"/>
      <c r="T54" s="54"/>
      <c r="U54" s="54"/>
    </row>
    <row r="55" ht="22.5" customHeight="1">
      <c r="A55" s="55"/>
      <c r="B55" s="56"/>
      <c r="C55" s="72" t="s">
        <v>28</v>
      </c>
      <c r="D55" s="62" t="str">
        <f>'管理シフト'!D37</f>
        <v/>
      </c>
      <c r="E55" s="50">
        <v>48000.0</v>
      </c>
      <c r="F55" s="51">
        <v>27000.0</v>
      </c>
      <c r="G55" s="52">
        <f>E55-F55</f>
        <v>21000</v>
      </c>
      <c r="H55" s="53"/>
      <c r="I55" s="62" t="str">
        <f>'管理シフト'!G37</f>
        <v/>
      </c>
      <c r="J55" s="50"/>
      <c r="K55" s="51"/>
      <c r="L55" s="52">
        <f>J55-K55</f>
        <v>0</v>
      </c>
      <c r="M55" s="54"/>
      <c r="N55" s="54" t="s">
        <v>13</v>
      </c>
      <c r="O55" s="54" t="s">
        <v>14</v>
      </c>
      <c r="P55" s="54" t="s">
        <v>15</v>
      </c>
      <c r="Q55" s="54"/>
      <c r="R55" s="54"/>
      <c r="S55" s="54"/>
      <c r="T55" s="54"/>
      <c r="U55" s="54"/>
    </row>
    <row r="56" ht="22.5" customHeight="1">
      <c r="A56" s="63"/>
      <c r="B56" s="64"/>
      <c r="C56" s="57"/>
      <c r="D56" s="58" t="s">
        <v>27</v>
      </c>
      <c r="E56" s="59">
        <v>0.0</v>
      </c>
      <c r="F56" s="59">
        <v>3.0</v>
      </c>
      <c r="G56" s="60">
        <v>0.0</v>
      </c>
      <c r="H56" s="61"/>
      <c r="I56" s="58" t="s">
        <v>27</v>
      </c>
      <c r="J56" s="59"/>
      <c r="K56" s="59"/>
      <c r="L56" s="60"/>
      <c r="M56" s="54"/>
      <c r="N56" s="54">
        <f t="shared" ref="N56:P56" si="21">E54+E56+J54+J56</f>
        <v>0</v>
      </c>
      <c r="O56" s="54">
        <f t="shared" si="21"/>
        <v>4</v>
      </c>
      <c r="P56" s="54">
        <f t="shared" si="21"/>
        <v>0</v>
      </c>
      <c r="Q56" s="54"/>
      <c r="R56" s="54"/>
      <c r="S56" s="54"/>
      <c r="T56" s="54"/>
      <c r="U56" s="54"/>
    </row>
    <row r="57" ht="22.5" customHeight="1">
      <c r="A57" s="43"/>
      <c r="B57" s="65"/>
      <c r="C57" s="71"/>
      <c r="D57" s="73"/>
      <c r="E57" s="67"/>
      <c r="F57" s="67"/>
      <c r="G57" s="68"/>
      <c r="H57" s="53"/>
      <c r="I57" s="73"/>
      <c r="J57" s="69">
        <f t="shared" ref="J57:K57" si="22">E53+E55+J53+J55</f>
        <v>63000</v>
      </c>
      <c r="K57" s="69">
        <f t="shared" si="22"/>
        <v>35500</v>
      </c>
      <c r="L57" s="69">
        <f>SUM(G53+G55+L53+L55+Q53+Q55)</f>
        <v>27500</v>
      </c>
      <c r="M57" s="54"/>
      <c r="N57" s="54"/>
      <c r="O57" s="54"/>
      <c r="P57" s="54"/>
      <c r="Q57" s="54"/>
      <c r="R57" s="54"/>
      <c r="S57" s="54"/>
      <c r="T57" s="54"/>
      <c r="U57" s="54"/>
    </row>
    <row r="58" ht="22.5" customHeight="1">
      <c r="A58" s="46">
        <v>12.0</v>
      </c>
      <c r="B58" s="70" t="str">
        <f>'【大井町】売上'!C15</f>
        <v>木</v>
      </c>
      <c r="C58" s="72" t="s">
        <v>26</v>
      </c>
      <c r="D58" s="49" t="str">
        <f>'管理シフト'!D39</f>
        <v/>
      </c>
      <c r="E58" s="50">
        <v>47000.0</v>
      </c>
      <c r="F58" s="51">
        <v>25500.0</v>
      </c>
      <c r="G58" s="52">
        <f>E58-F58</f>
        <v>21500</v>
      </c>
      <c r="H58" s="53"/>
      <c r="I58" s="49" t="str">
        <f>'管理シフト'!G39</f>
        <v/>
      </c>
      <c r="J58" s="50">
        <v>38000.0</v>
      </c>
      <c r="K58" s="51">
        <v>23000.0</v>
      </c>
      <c r="L58" s="52">
        <f>J58-K58</f>
        <v>15000</v>
      </c>
      <c r="M58" s="54"/>
      <c r="N58" s="54"/>
      <c r="O58" s="54"/>
      <c r="P58" s="54"/>
      <c r="Q58" s="54"/>
      <c r="R58" s="54"/>
      <c r="S58" s="54"/>
      <c r="T58" s="54"/>
      <c r="U58" s="54"/>
    </row>
    <row r="59" ht="22.5" customHeight="1">
      <c r="A59" s="55"/>
      <c r="B59" s="56"/>
      <c r="C59" s="57"/>
      <c r="D59" s="58" t="s">
        <v>27</v>
      </c>
      <c r="E59" s="59">
        <v>1.0</v>
      </c>
      <c r="F59" s="59">
        <v>2.0</v>
      </c>
      <c r="G59" s="60">
        <v>0.0</v>
      </c>
      <c r="H59" s="61"/>
      <c r="I59" s="58" t="s">
        <v>27</v>
      </c>
      <c r="J59" s="59">
        <v>0.0</v>
      </c>
      <c r="K59" s="59">
        <v>1.0</v>
      </c>
      <c r="L59" s="60">
        <v>1.0</v>
      </c>
      <c r="M59" s="54"/>
      <c r="N59" s="54"/>
      <c r="O59" s="54"/>
      <c r="P59" s="54"/>
      <c r="Q59" s="54"/>
      <c r="R59" s="54"/>
      <c r="S59" s="54"/>
      <c r="T59" s="54"/>
      <c r="U59" s="54"/>
    </row>
    <row r="60" ht="22.5" customHeight="1">
      <c r="A60" s="55"/>
      <c r="B60" s="56"/>
      <c r="C60" s="72" t="s">
        <v>28</v>
      </c>
      <c r="D60" s="62" t="str">
        <f>'管理シフト'!D40</f>
        <v/>
      </c>
      <c r="E60" s="50"/>
      <c r="F60" s="51"/>
      <c r="G60" s="52">
        <f>E60-F60</f>
        <v>0</v>
      </c>
      <c r="H60" s="53"/>
      <c r="I60" s="62" t="str">
        <f>'管理シフト'!G40</f>
        <v/>
      </c>
      <c r="J60" s="50">
        <v>18000.0</v>
      </c>
      <c r="K60" s="51">
        <v>10000.0</v>
      </c>
      <c r="L60" s="52">
        <f>J60-K60</f>
        <v>8000</v>
      </c>
      <c r="M60" s="54"/>
      <c r="N60" s="54" t="s">
        <v>13</v>
      </c>
      <c r="O60" s="54" t="s">
        <v>14</v>
      </c>
      <c r="P60" s="54" t="s">
        <v>15</v>
      </c>
      <c r="Q60" s="54"/>
      <c r="R60" s="54"/>
      <c r="S60" s="54"/>
      <c r="T60" s="54"/>
      <c r="U60" s="54"/>
    </row>
    <row r="61" ht="22.5" customHeight="1">
      <c r="A61" s="63"/>
      <c r="B61" s="64"/>
      <c r="C61" s="57"/>
      <c r="D61" s="58" t="s">
        <v>27</v>
      </c>
      <c r="E61" s="59"/>
      <c r="F61" s="59"/>
      <c r="G61" s="60"/>
      <c r="H61" s="61"/>
      <c r="I61" s="58" t="s">
        <v>27</v>
      </c>
      <c r="J61" s="59">
        <v>0.0</v>
      </c>
      <c r="K61" s="59">
        <v>1.0</v>
      </c>
      <c r="L61" s="60">
        <v>0.0</v>
      </c>
      <c r="M61" s="54"/>
      <c r="N61" s="54">
        <f t="shared" ref="N61:P61" si="23">E59+E61+J59+J61</f>
        <v>1</v>
      </c>
      <c r="O61" s="54">
        <f t="shared" si="23"/>
        <v>4</v>
      </c>
      <c r="P61" s="54">
        <f t="shared" si="23"/>
        <v>1</v>
      </c>
      <c r="Q61" s="54"/>
      <c r="R61" s="54"/>
      <c r="S61" s="54"/>
      <c r="T61" s="54"/>
      <c r="U61" s="54"/>
    </row>
    <row r="62" ht="22.5" customHeight="1">
      <c r="A62" s="43"/>
      <c r="B62" s="65"/>
      <c r="C62" s="71"/>
      <c r="D62" s="73"/>
      <c r="E62" s="50"/>
      <c r="F62" s="51"/>
      <c r="G62" s="52">
        <f t="shared" ref="G62:G63" si="25">E62-F62</f>
        <v>0</v>
      </c>
      <c r="H62" s="53"/>
      <c r="I62" s="73"/>
      <c r="J62" s="69">
        <f t="shared" ref="J62:K62" si="24">E58+E60+J58+J60</f>
        <v>103000</v>
      </c>
      <c r="K62" s="69">
        <f t="shared" si="24"/>
        <v>58500</v>
      </c>
      <c r="L62" s="69">
        <f>SUM(G58+G60+L58+L60+Q58+Q60)</f>
        <v>44500</v>
      </c>
      <c r="M62" s="54"/>
      <c r="N62" s="54"/>
      <c r="O62" s="54"/>
      <c r="P62" s="54"/>
      <c r="Q62" s="54"/>
      <c r="R62" s="54"/>
      <c r="S62" s="54"/>
      <c r="T62" s="54"/>
      <c r="U62" s="54"/>
    </row>
    <row r="63" ht="22.5" customHeight="1">
      <c r="A63" s="46">
        <v>13.0</v>
      </c>
      <c r="B63" s="70" t="str">
        <f>'【大井町】売上'!C16</f>
        <v>金</v>
      </c>
      <c r="C63" s="48" t="s">
        <v>26</v>
      </c>
      <c r="D63" s="49" t="str">
        <f>'管理シフト'!D42</f>
        <v/>
      </c>
      <c r="E63" s="59">
        <v>15000.0</v>
      </c>
      <c r="F63" s="59">
        <v>8500.0</v>
      </c>
      <c r="G63" s="52">
        <f t="shared" si="25"/>
        <v>6500</v>
      </c>
      <c r="H63" s="53"/>
      <c r="I63" s="49" t="str">
        <f>'管理シフト'!G42</f>
        <v/>
      </c>
      <c r="J63" s="50">
        <v>24000.0</v>
      </c>
      <c r="K63" s="51">
        <v>12000.0</v>
      </c>
      <c r="L63" s="52">
        <f>J63-K63</f>
        <v>12000</v>
      </c>
      <c r="M63" s="54"/>
      <c r="N63" s="54"/>
      <c r="O63" s="54"/>
      <c r="P63" s="54"/>
      <c r="Q63" s="54"/>
      <c r="R63" s="54"/>
      <c r="S63" s="54"/>
      <c r="T63" s="54"/>
      <c r="U63" s="54"/>
    </row>
    <row r="64" ht="22.5" customHeight="1">
      <c r="A64" s="55"/>
      <c r="B64" s="56"/>
      <c r="C64" s="57"/>
      <c r="D64" s="58" t="s">
        <v>27</v>
      </c>
      <c r="E64" s="50">
        <v>0.0</v>
      </c>
      <c r="F64" s="51">
        <v>0.0</v>
      </c>
      <c r="G64" s="52">
        <v>1.0</v>
      </c>
      <c r="H64" s="61"/>
      <c r="I64" s="58" t="s">
        <v>27</v>
      </c>
      <c r="J64" s="59">
        <v>0.0</v>
      </c>
      <c r="K64" s="59">
        <v>0.0</v>
      </c>
      <c r="L64" s="60">
        <v>2.0</v>
      </c>
      <c r="M64" s="54"/>
      <c r="N64" s="54"/>
      <c r="O64" s="54"/>
      <c r="P64" s="54"/>
      <c r="Q64" s="54"/>
      <c r="R64" s="54"/>
      <c r="S64" s="54"/>
      <c r="T64" s="54"/>
      <c r="U64" s="54"/>
    </row>
    <row r="65" ht="22.5" customHeight="1">
      <c r="A65" s="55"/>
      <c r="B65" s="56"/>
      <c r="C65" s="48" t="s">
        <v>28</v>
      </c>
      <c r="D65" s="62" t="str">
        <f>'管理シフト'!D43</f>
        <v/>
      </c>
      <c r="E65" s="59">
        <v>13000.0</v>
      </c>
      <c r="F65" s="59">
        <v>6500.0</v>
      </c>
      <c r="G65" s="52">
        <f>E65-F65</f>
        <v>6500</v>
      </c>
      <c r="H65" s="53"/>
      <c r="I65" s="62" t="str">
        <f>'管理シフト'!G43</f>
        <v/>
      </c>
      <c r="J65" s="50"/>
      <c r="K65" s="51"/>
      <c r="L65" s="52">
        <f>J65-K65</f>
        <v>0</v>
      </c>
      <c r="M65" s="54"/>
      <c r="N65" s="54" t="s">
        <v>13</v>
      </c>
      <c r="O65" s="54" t="s">
        <v>14</v>
      </c>
      <c r="P65" s="54" t="s">
        <v>15</v>
      </c>
      <c r="Q65" s="54"/>
      <c r="R65" s="54"/>
      <c r="S65" s="54"/>
      <c r="T65" s="54"/>
      <c r="U65" s="54"/>
    </row>
    <row r="66" ht="22.5" customHeight="1">
      <c r="A66" s="63"/>
      <c r="B66" s="64"/>
      <c r="C66" s="57"/>
      <c r="D66" s="58" t="s">
        <v>27</v>
      </c>
      <c r="E66" s="50">
        <v>1.0</v>
      </c>
      <c r="F66" s="51">
        <v>0.0</v>
      </c>
      <c r="G66" s="52">
        <v>0.0</v>
      </c>
      <c r="H66" s="61"/>
      <c r="I66" s="58" t="s">
        <v>27</v>
      </c>
      <c r="J66" s="59"/>
      <c r="K66" s="59"/>
      <c r="L66" s="60"/>
      <c r="M66" s="54"/>
      <c r="N66" s="54">
        <f t="shared" ref="N66:P66" si="26">E64+E66+J64+J66</f>
        <v>1</v>
      </c>
      <c r="O66" s="54">
        <f t="shared" si="26"/>
        <v>0</v>
      </c>
      <c r="P66" s="54">
        <f t="shared" si="26"/>
        <v>3</v>
      </c>
      <c r="Q66" s="54"/>
      <c r="R66" s="54"/>
      <c r="S66" s="54"/>
      <c r="T66" s="54"/>
      <c r="U66" s="54"/>
    </row>
    <row r="67" ht="22.5" customHeight="1">
      <c r="A67" s="43"/>
      <c r="B67" s="65"/>
      <c r="C67" s="45"/>
      <c r="D67" s="73"/>
      <c r="E67" s="59"/>
      <c r="F67" s="59"/>
      <c r="G67" s="60"/>
      <c r="H67" s="53"/>
      <c r="I67" s="73"/>
      <c r="J67" s="69">
        <f t="shared" ref="J67:K67" si="27">E63+E65+J63+J65</f>
        <v>52000</v>
      </c>
      <c r="K67" s="69">
        <f t="shared" si="27"/>
        <v>27000</v>
      </c>
      <c r="L67" s="69">
        <f>SUM(G63+G65+L63+L65+Q63+Q65)</f>
        <v>25000</v>
      </c>
      <c r="M67" s="54"/>
      <c r="N67" s="54"/>
      <c r="O67" s="54"/>
      <c r="P67" s="54"/>
      <c r="Q67" s="54"/>
      <c r="R67" s="54"/>
      <c r="S67" s="54"/>
      <c r="T67" s="54"/>
      <c r="U67" s="54"/>
    </row>
    <row r="68" ht="22.5" customHeight="1">
      <c r="A68" s="46">
        <v>14.0</v>
      </c>
      <c r="B68" s="70" t="str">
        <f>'【大井町】売上'!C17</f>
        <v>土</v>
      </c>
      <c r="C68" s="48" t="s">
        <v>26</v>
      </c>
      <c r="D68" s="49" t="str">
        <f>'管理シフト'!D45</f>
        <v/>
      </c>
      <c r="E68" s="50">
        <v>44000.0</v>
      </c>
      <c r="F68" s="51">
        <v>23000.0</v>
      </c>
      <c r="G68" s="52">
        <f>E68-F68</f>
        <v>21000</v>
      </c>
      <c r="H68" s="53"/>
      <c r="I68" s="49" t="str">
        <f>'管理シフト'!G45</f>
        <v/>
      </c>
      <c r="J68" s="50"/>
      <c r="K68" s="51"/>
      <c r="L68" s="52">
        <f>J68-K68</f>
        <v>0</v>
      </c>
      <c r="M68" s="54"/>
      <c r="N68" s="54"/>
      <c r="O68" s="54"/>
      <c r="P68" s="54"/>
      <c r="Q68" s="54"/>
      <c r="R68" s="54"/>
      <c r="S68" s="54"/>
      <c r="T68" s="54"/>
      <c r="U68" s="54"/>
    </row>
    <row r="69" ht="22.5" customHeight="1">
      <c r="A69" s="55"/>
      <c r="B69" s="56"/>
      <c r="C69" s="57"/>
      <c r="D69" s="58" t="s">
        <v>27</v>
      </c>
      <c r="E69" s="59">
        <v>0.0</v>
      </c>
      <c r="F69" s="59">
        <v>3.0</v>
      </c>
      <c r="G69" s="60">
        <v>0.0</v>
      </c>
      <c r="H69" s="61"/>
      <c r="I69" s="58" t="s">
        <v>27</v>
      </c>
      <c r="J69" s="59"/>
      <c r="K69" s="59"/>
      <c r="L69" s="60"/>
      <c r="M69" s="54"/>
      <c r="N69" s="54"/>
      <c r="O69" s="54"/>
      <c r="P69" s="54"/>
      <c r="Q69" s="54"/>
      <c r="R69" s="54"/>
      <c r="S69" s="54"/>
      <c r="T69" s="54"/>
      <c r="U69" s="54"/>
    </row>
    <row r="70" ht="22.5" customHeight="1">
      <c r="A70" s="55"/>
      <c r="B70" s="56"/>
      <c r="C70" s="48" t="s">
        <v>28</v>
      </c>
      <c r="D70" s="62" t="str">
        <f>'管理シフト'!D46</f>
        <v/>
      </c>
      <c r="E70" s="50"/>
      <c r="F70" s="51"/>
      <c r="G70" s="52">
        <f>E70-F70</f>
        <v>0</v>
      </c>
      <c r="H70" s="53"/>
      <c r="I70" s="62" t="str">
        <f>'管理シフト'!G46</f>
        <v/>
      </c>
      <c r="J70" s="50">
        <v>32000.0</v>
      </c>
      <c r="K70" s="51">
        <v>18000.0</v>
      </c>
      <c r="L70" s="52">
        <f>J70-K70</f>
        <v>14000</v>
      </c>
      <c r="M70" s="54"/>
      <c r="N70" s="54" t="s">
        <v>13</v>
      </c>
      <c r="O70" s="54" t="s">
        <v>14</v>
      </c>
      <c r="P70" s="54" t="s">
        <v>15</v>
      </c>
      <c r="Q70" s="54"/>
      <c r="R70" s="54"/>
      <c r="S70" s="54"/>
      <c r="T70" s="54"/>
      <c r="U70" s="54"/>
    </row>
    <row r="71" ht="22.5" customHeight="1">
      <c r="A71" s="63"/>
      <c r="B71" s="64"/>
      <c r="C71" s="57"/>
      <c r="D71" s="58" t="s">
        <v>27</v>
      </c>
      <c r="E71" s="59"/>
      <c r="F71" s="59"/>
      <c r="G71" s="60"/>
      <c r="H71" s="61"/>
      <c r="I71" s="58" t="s">
        <v>27</v>
      </c>
      <c r="J71" s="59">
        <v>0.0</v>
      </c>
      <c r="K71" s="59">
        <v>2.0</v>
      </c>
      <c r="L71" s="60">
        <v>0.0</v>
      </c>
      <c r="M71" s="54"/>
      <c r="N71" s="54">
        <f t="shared" ref="N71:P71" si="28">E69+E71+J69+J71</f>
        <v>0</v>
      </c>
      <c r="O71" s="54">
        <f t="shared" si="28"/>
        <v>5</v>
      </c>
      <c r="P71" s="54">
        <f t="shared" si="28"/>
        <v>0</v>
      </c>
      <c r="Q71" s="54"/>
      <c r="R71" s="54"/>
      <c r="S71" s="54"/>
      <c r="T71" s="54"/>
      <c r="U71" s="54"/>
    </row>
    <row r="72" ht="22.5" customHeight="1">
      <c r="A72" s="43"/>
      <c r="B72" s="65"/>
      <c r="C72" s="71"/>
      <c r="D72" s="73"/>
      <c r="E72" s="67"/>
      <c r="F72" s="67"/>
      <c r="G72" s="68"/>
      <c r="H72" s="53"/>
      <c r="I72" s="73"/>
      <c r="J72" s="69">
        <f t="shared" ref="J72:K72" si="29">E68+E70+J68+J70</f>
        <v>76000</v>
      </c>
      <c r="K72" s="69">
        <f t="shared" si="29"/>
        <v>41000</v>
      </c>
      <c r="L72" s="69">
        <f>SUM(G68+G70+L68+L70+Q68+Q70)</f>
        <v>35000</v>
      </c>
      <c r="M72" s="54"/>
      <c r="N72" s="54"/>
      <c r="O72" s="54"/>
      <c r="P72" s="54"/>
      <c r="Q72" s="54"/>
      <c r="R72" s="54"/>
      <c r="S72" s="54"/>
      <c r="T72" s="54"/>
      <c r="U72" s="54"/>
    </row>
    <row r="73" ht="22.5" customHeight="1">
      <c r="A73" s="46">
        <v>15.0</v>
      </c>
      <c r="B73" s="70" t="str">
        <f>'【大井町】売上'!C18</f>
        <v>日</v>
      </c>
      <c r="C73" s="72" t="s">
        <v>26</v>
      </c>
      <c r="D73" s="49" t="str">
        <f>'管理シフト'!D49</f>
        <v/>
      </c>
      <c r="E73" s="50">
        <v>0.0</v>
      </c>
      <c r="F73" s="51">
        <v>0.0</v>
      </c>
      <c r="G73" s="52">
        <f>E73-F73</f>
        <v>0</v>
      </c>
      <c r="H73" s="53"/>
      <c r="I73" s="49" t="str">
        <f>'管理シフト'!G49</f>
        <v/>
      </c>
      <c r="J73" s="50"/>
      <c r="K73" s="51"/>
      <c r="L73" s="52">
        <f>J73-K73</f>
        <v>0</v>
      </c>
      <c r="M73" s="54"/>
      <c r="N73" s="54"/>
      <c r="O73" s="54"/>
      <c r="P73" s="54"/>
      <c r="Q73" s="54"/>
      <c r="R73" s="54"/>
      <c r="S73" s="54"/>
      <c r="T73" s="54"/>
      <c r="U73" s="54"/>
    </row>
    <row r="74" ht="22.5" customHeight="1">
      <c r="A74" s="55"/>
      <c r="B74" s="56"/>
      <c r="C74" s="57"/>
      <c r="D74" s="58" t="s">
        <v>27</v>
      </c>
      <c r="E74" s="59"/>
      <c r="F74" s="59"/>
      <c r="G74" s="60"/>
      <c r="H74" s="61"/>
      <c r="I74" s="58" t="s">
        <v>27</v>
      </c>
      <c r="J74" s="59"/>
      <c r="K74" s="59"/>
      <c r="L74" s="60"/>
      <c r="M74" s="54"/>
      <c r="N74" s="54"/>
      <c r="O74" s="54"/>
      <c r="P74" s="54"/>
      <c r="Q74" s="54"/>
      <c r="R74" s="54"/>
      <c r="S74" s="54"/>
      <c r="T74" s="54"/>
      <c r="U74" s="54"/>
    </row>
    <row r="75" ht="22.5" customHeight="1">
      <c r="A75" s="55"/>
      <c r="B75" s="56"/>
      <c r="C75" s="72" t="s">
        <v>28</v>
      </c>
      <c r="D75" s="62" t="str">
        <f>'管理シフト'!D50</f>
        <v/>
      </c>
      <c r="E75" s="50">
        <v>35000.0</v>
      </c>
      <c r="F75" s="51">
        <v>19500.0</v>
      </c>
      <c r="G75" s="52">
        <f>E75-F75</f>
        <v>15500</v>
      </c>
      <c r="H75" s="53"/>
      <c r="I75" s="62" t="str">
        <f>'管理シフト'!G50</f>
        <v/>
      </c>
      <c r="J75" s="50">
        <v>41000.0</v>
      </c>
      <c r="K75" s="51">
        <v>26770.0</v>
      </c>
      <c r="L75" s="52">
        <f>J75-K75</f>
        <v>14230</v>
      </c>
      <c r="M75" s="54"/>
      <c r="N75" s="54" t="s">
        <v>13</v>
      </c>
      <c r="O75" s="54" t="s">
        <v>14</v>
      </c>
      <c r="P75" s="54" t="s">
        <v>15</v>
      </c>
      <c r="Q75" s="54"/>
      <c r="R75" s="54"/>
      <c r="S75" s="54"/>
      <c r="T75" s="54"/>
      <c r="U75" s="54"/>
    </row>
    <row r="76" ht="22.5" customHeight="1">
      <c r="A76" s="63"/>
      <c r="B76" s="64"/>
      <c r="C76" s="57"/>
      <c r="D76" s="58" t="s">
        <v>27</v>
      </c>
      <c r="E76" s="59">
        <v>0.0</v>
      </c>
      <c r="F76" s="59">
        <v>2.0</v>
      </c>
      <c r="G76" s="60">
        <v>0.0</v>
      </c>
      <c r="H76" s="61"/>
      <c r="I76" s="58" t="s">
        <v>27</v>
      </c>
      <c r="J76" s="59">
        <v>1.0</v>
      </c>
      <c r="K76" s="59">
        <v>1.0</v>
      </c>
      <c r="L76" s="60">
        <v>1.0</v>
      </c>
      <c r="M76" s="54"/>
      <c r="N76" s="54">
        <f t="shared" ref="N76:P76" si="30">E74+E76+J74+J76</f>
        <v>1</v>
      </c>
      <c r="O76" s="54">
        <f t="shared" si="30"/>
        <v>3</v>
      </c>
      <c r="P76" s="54">
        <f t="shared" si="30"/>
        <v>1</v>
      </c>
      <c r="Q76" s="54"/>
      <c r="R76" s="54"/>
      <c r="S76" s="54"/>
      <c r="T76" s="54"/>
      <c r="U76" s="54"/>
    </row>
    <row r="77" ht="22.5" customHeight="1">
      <c r="A77" s="43"/>
      <c r="B77" s="65"/>
      <c r="C77" s="71"/>
      <c r="D77" s="73"/>
      <c r="E77" s="67"/>
      <c r="F77" s="67"/>
      <c r="G77" s="68"/>
      <c r="H77" s="53"/>
      <c r="I77" s="73"/>
      <c r="J77" s="69">
        <f t="shared" ref="J77:K77" si="31">E73+E75+J73+J75</f>
        <v>76000</v>
      </c>
      <c r="K77" s="69">
        <f t="shared" si="31"/>
        <v>46270</v>
      </c>
      <c r="L77" s="69">
        <f>SUM(G73+G75+L73+L75+Q73+Q75)</f>
        <v>29730</v>
      </c>
      <c r="M77" s="54"/>
      <c r="N77" s="54"/>
      <c r="O77" s="54"/>
      <c r="P77" s="54"/>
      <c r="Q77" s="54"/>
      <c r="R77" s="54"/>
      <c r="S77" s="54"/>
      <c r="T77" s="54"/>
      <c r="U77" s="54"/>
    </row>
    <row r="78" ht="22.5" customHeight="1">
      <c r="A78" s="46">
        <v>16.0</v>
      </c>
      <c r="B78" s="70" t="str">
        <f>'【大井町】売上'!C19</f>
        <v>月</v>
      </c>
      <c r="C78" s="72" t="s">
        <v>26</v>
      </c>
      <c r="D78" s="49" t="str">
        <f>'管理シフト'!D52</f>
        <v/>
      </c>
      <c r="E78" s="59">
        <v>15000.0</v>
      </c>
      <c r="F78" s="59">
        <v>9000.0</v>
      </c>
      <c r="G78" s="52">
        <f>E78-F78</f>
        <v>6000</v>
      </c>
      <c r="H78" s="53"/>
      <c r="I78" s="49" t="str">
        <f>'管理シフト'!G52</f>
        <v/>
      </c>
      <c r="J78" s="50">
        <v>20000.0</v>
      </c>
      <c r="K78" s="51">
        <v>11500.0</v>
      </c>
      <c r="L78" s="52">
        <f>J78-K78</f>
        <v>8500</v>
      </c>
      <c r="M78" s="54"/>
      <c r="N78" s="54"/>
      <c r="O78" s="54"/>
      <c r="P78" s="54"/>
      <c r="Q78" s="54"/>
      <c r="R78" s="54"/>
      <c r="S78" s="54"/>
      <c r="T78" s="54"/>
      <c r="U78" s="54"/>
    </row>
    <row r="79" ht="22.5" customHeight="1">
      <c r="A79" s="55"/>
      <c r="B79" s="56"/>
      <c r="C79" s="57"/>
      <c r="D79" s="58" t="s">
        <v>27</v>
      </c>
      <c r="E79" s="50">
        <v>0.0</v>
      </c>
      <c r="F79" s="51">
        <v>0.0</v>
      </c>
      <c r="G79" s="52">
        <v>1.0</v>
      </c>
      <c r="H79" s="61"/>
      <c r="I79" s="58" t="s">
        <v>27</v>
      </c>
      <c r="J79" s="59">
        <v>0.0</v>
      </c>
      <c r="K79" s="59">
        <v>1.0</v>
      </c>
      <c r="L79" s="60">
        <v>0.0</v>
      </c>
      <c r="M79" s="54"/>
      <c r="N79" s="54"/>
      <c r="O79" s="54"/>
      <c r="P79" s="54"/>
      <c r="Q79" s="54"/>
      <c r="R79" s="54"/>
      <c r="S79" s="54"/>
      <c r="T79" s="54"/>
      <c r="U79" s="54"/>
    </row>
    <row r="80" ht="22.5" customHeight="1">
      <c r="A80" s="55"/>
      <c r="B80" s="56"/>
      <c r="C80" s="72" t="s">
        <v>28</v>
      </c>
      <c r="D80" s="62" t="str">
        <f>'管理シフト'!D53</f>
        <v/>
      </c>
      <c r="E80" s="59"/>
      <c r="F80" s="59"/>
      <c r="G80" s="52"/>
      <c r="H80" s="53"/>
      <c r="I80" s="62" t="str">
        <f>'管理シフト'!G53</f>
        <v/>
      </c>
      <c r="J80" s="50">
        <v>12000.0</v>
      </c>
      <c r="K80" s="51">
        <v>6000.0</v>
      </c>
      <c r="L80" s="52">
        <f>J80-K80</f>
        <v>6000</v>
      </c>
      <c r="M80" s="54"/>
      <c r="N80" s="54" t="s">
        <v>13</v>
      </c>
      <c r="O80" s="54" t="s">
        <v>14</v>
      </c>
      <c r="P80" s="54" t="s">
        <v>15</v>
      </c>
      <c r="Q80" s="54"/>
      <c r="R80" s="54"/>
      <c r="S80" s="54"/>
      <c r="T80" s="54"/>
      <c r="U80" s="54"/>
    </row>
    <row r="81" ht="22.5" customHeight="1">
      <c r="A81" s="63"/>
      <c r="B81" s="64"/>
      <c r="C81" s="57"/>
      <c r="D81" s="58" t="s">
        <v>27</v>
      </c>
      <c r="E81" s="50"/>
      <c r="F81" s="51"/>
      <c r="G81" s="52"/>
      <c r="H81" s="61"/>
      <c r="I81" s="58" t="s">
        <v>27</v>
      </c>
      <c r="J81" s="59">
        <v>0.0</v>
      </c>
      <c r="K81" s="59">
        <v>1.0</v>
      </c>
      <c r="L81" s="60">
        <v>0.0</v>
      </c>
      <c r="M81" s="54"/>
      <c r="N81" s="54">
        <f t="shared" ref="N81:P81" si="32">E79+E81+J79+J81</f>
        <v>0</v>
      </c>
      <c r="O81" s="54">
        <f t="shared" si="32"/>
        <v>2</v>
      </c>
      <c r="P81" s="54">
        <f t="shared" si="32"/>
        <v>1</v>
      </c>
      <c r="Q81" s="54"/>
      <c r="R81" s="54"/>
      <c r="S81" s="54"/>
      <c r="T81" s="54"/>
      <c r="U81" s="54"/>
    </row>
    <row r="82" ht="22.5" customHeight="1">
      <c r="A82" s="43"/>
      <c r="B82" s="65"/>
      <c r="C82" s="74"/>
      <c r="D82" s="73"/>
      <c r="E82" s="59"/>
      <c r="F82" s="59"/>
      <c r="G82" s="60"/>
      <c r="H82" s="53"/>
      <c r="I82" s="73"/>
      <c r="J82" s="69">
        <f t="shared" ref="J82:K82" si="33">E78+E80+J78+J80</f>
        <v>47000</v>
      </c>
      <c r="K82" s="69">
        <f t="shared" si="33"/>
        <v>26500</v>
      </c>
      <c r="L82" s="69">
        <f>SUM(G78+G80+L78+L80+Q78+Q80)</f>
        <v>20500</v>
      </c>
      <c r="M82" s="54"/>
      <c r="N82" s="54"/>
      <c r="O82" s="54"/>
      <c r="P82" s="54"/>
      <c r="Q82" s="54"/>
      <c r="R82" s="54"/>
      <c r="S82" s="54"/>
      <c r="T82" s="54"/>
      <c r="U82" s="54"/>
    </row>
    <row r="83" ht="22.5" customHeight="1">
      <c r="A83" s="46">
        <v>17.0</v>
      </c>
      <c r="B83" s="75" t="str">
        <f>'【大井町】売上'!C20</f>
        <v>火</v>
      </c>
      <c r="C83" s="72" t="s">
        <v>26</v>
      </c>
      <c r="D83" s="49" t="str">
        <f>'管理シフト'!D55</f>
        <v/>
      </c>
      <c r="E83" s="50">
        <v>47000.0</v>
      </c>
      <c r="F83" s="51">
        <v>26996.0</v>
      </c>
      <c r="G83" s="52">
        <f>E83-F83</f>
        <v>20004</v>
      </c>
      <c r="H83" s="53"/>
      <c r="I83" s="49" t="str">
        <f>'管理シフト'!G55</f>
        <v/>
      </c>
      <c r="J83" s="50"/>
      <c r="K83" s="51"/>
      <c r="L83" s="52">
        <f>J83-K83</f>
        <v>0</v>
      </c>
      <c r="M83" s="43"/>
      <c r="N83" s="54"/>
      <c r="O83" s="54"/>
      <c r="P83" s="54"/>
      <c r="Q83" s="43"/>
      <c r="R83" s="43"/>
      <c r="S83" s="43"/>
      <c r="T83" s="43"/>
    </row>
    <row r="84" ht="18.0" customHeight="1">
      <c r="A84" s="55"/>
      <c r="B84" s="56"/>
      <c r="C84" s="57"/>
      <c r="D84" s="58" t="s">
        <v>27</v>
      </c>
      <c r="E84" s="59">
        <v>1.0</v>
      </c>
      <c r="F84" s="59">
        <v>2.0</v>
      </c>
      <c r="G84" s="60">
        <v>0.0</v>
      </c>
      <c r="H84" s="61"/>
      <c r="I84" s="58" t="s">
        <v>27</v>
      </c>
      <c r="J84" s="59"/>
      <c r="K84" s="59"/>
      <c r="L84" s="60"/>
      <c r="M84" s="43"/>
      <c r="N84" s="54"/>
      <c r="O84" s="54"/>
      <c r="P84" s="54"/>
      <c r="Q84" s="43"/>
      <c r="R84" s="43"/>
      <c r="S84" s="43"/>
      <c r="T84" s="43"/>
    </row>
    <row r="85" ht="18.0" customHeight="1">
      <c r="A85" s="55"/>
      <c r="B85" s="56"/>
      <c r="C85" s="72" t="s">
        <v>28</v>
      </c>
      <c r="D85" s="62" t="str">
        <f>'管理シフト'!D56</f>
        <v/>
      </c>
      <c r="E85" s="50"/>
      <c r="F85" s="51"/>
      <c r="G85" s="52">
        <f>E85-F85</f>
        <v>0</v>
      </c>
      <c r="H85" s="53"/>
      <c r="I85" s="62" t="str">
        <f>'管理シフト'!G56</f>
        <v/>
      </c>
      <c r="J85" s="50">
        <v>17000.0</v>
      </c>
      <c r="K85" s="51">
        <v>9000.0</v>
      </c>
      <c r="L85" s="52">
        <f>J85-K85</f>
        <v>8000</v>
      </c>
      <c r="M85" s="43"/>
      <c r="N85" s="54" t="s">
        <v>13</v>
      </c>
      <c r="O85" s="54" t="s">
        <v>14</v>
      </c>
      <c r="P85" s="54" t="s">
        <v>15</v>
      </c>
      <c r="Q85" s="43"/>
      <c r="R85" s="43"/>
      <c r="S85" s="43"/>
      <c r="T85" s="43"/>
    </row>
    <row r="86" ht="18.0" customHeight="1">
      <c r="A86" s="63"/>
      <c r="B86" s="64"/>
      <c r="C86" s="57"/>
      <c r="D86" s="58" t="s">
        <v>27</v>
      </c>
      <c r="E86" s="59"/>
      <c r="F86" s="59"/>
      <c r="G86" s="60"/>
      <c r="H86" s="61"/>
      <c r="I86" s="58" t="s">
        <v>27</v>
      </c>
      <c r="J86" s="59">
        <v>0.0</v>
      </c>
      <c r="K86" s="59">
        <v>1.0</v>
      </c>
      <c r="L86" s="60">
        <v>0.0</v>
      </c>
      <c r="M86" s="43"/>
      <c r="N86" s="54">
        <f t="shared" ref="N86:P86" si="34">E84+E86+J84+J86</f>
        <v>1</v>
      </c>
      <c r="O86" s="54">
        <f t="shared" si="34"/>
        <v>3</v>
      </c>
      <c r="P86" s="54">
        <f t="shared" si="34"/>
        <v>0</v>
      </c>
      <c r="Q86" s="43"/>
      <c r="R86" s="43"/>
      <c r="S86" s="43"/>
      <c r="T86" s="43"/>
    </row>
    <row r="87" ht="18.0" customHeight="1">
      <c r="A87" s="43"/>
      <c r="B87" s="65"/>
      <c r="C87" s="74"/>
      <c r="D87" s="73"/>
      <c r="E87" s="67"/>
      <c r="F87" s="67"/>
      <c r="G87" s="68"/>
      <c r="H87" s="53"/>
      <c r="I87" s="73"/>
      <c r="J87" s="69">
        <f t="shared" ref="J87:K87" si="35">E83+E85+J83+J85</f>
        <v>64000</v>
      </c>
      <c r="K87" s="69">
        <f t="shared" si="35"/>
        <v>35996</v>
      </c>
      <c r="L87" s="69">
        <f>SUM(G83+G85+L83+L85+Q83+Q85)</f>
        <v>28004</v>
      </c>
      <c r="M87" s="43"/>
      <c r="N87" s="54"/>
      <c r="O87" s="54"/>
      <c r="P87" s="54"/>
      <c r="Q87" s="43"/>
      <c r="R87" s="43"/>
      <c r="S87" s="43"/>
      <c r="T87" s="43"/>
    </row>
    <row r="88" ht="18.0" customHeight="1">
      <c r="A88" s="46">
        <v>18.0</v>
      </c>
      <c r="B88" s="70" t="str">
        <f>'【大井町】売上'!C21</f>
        <v>水</v>
      </c>
      <c r="C88" s="72" t="s">
        <v>26</v>
      </c>
      <c r="D88" s="49" t="str">
        <f>'管理シフト'!D58</f>
        <v/>
      </c>
      <c r="E88" s="50">
        <v>0.0</v>
      </c>
      <c r="F88" s="51">
        <v>0.0</v>
      </c>
      <c r="G88" s="52">
        <f>E88-F88</f>
        <v>0</v>
      </c>
      <c r="H88" s="53"/>
      <c r="I88" s="49" t="str">
        <f>'管理シフト'!G58</f>
        <v/>
      </c>
      <c r="J88" s="50">
        <v>24000.0</v>
      </c>
      <c r="K88" s="51">
        <v>12000.0</v>
      </c>
      <c r="L88" s="52">
        <f>J88-K88</f>
        <v>12000</v>
      </c>
      <c r="M88" s="43"/>
      <c r="N88" s="54"/>
      <c r="O88" s="54"/>
      <c r="P88" s="54"/>
      <c r="Q88" s="43"/>
      <c r="R88" s="43"/>
      <c r="S88" s="43"/>
      <c r="T88" s="43"/>
    </row>
    <row r="89" ht="18.0" customHeight="1">
      <c r="A89" s="55"/>
      <c r="B89" s="56"/>
      <c r="C89" s="57"/>
      <c r="D89" s="58" t="s">
        <v>27</v>
      </c>
      <c r="E89" s="59"/>
      <c r="F89" s="59"/>
      <c r="G89" s="60"/>
      <c r="H89" s="61"/>
      <c r="I89" s="58" t="s">
        <v>27</v>
      </c>
      <c r="J89" s="59">
        <v>0.0</v>
      </c>
      <c r="K89" s="59">
        <v>1.0</v>
      </c>
      <c r="L89" s="60">
        <v>1.0</v>
      </c>
      <c r="M89" s="43"/>
      <c r="N89" s="54"/>
      <c r="O89" s="54"/>
      <c r="P89" s="54"/>
      <c r="Q89" s="43"/>
      <c r="R89" s="43"/>
      <c r="S89" s="43"/>
      <c r="T89" s="43"/>
    </row>
    <row r="90" ht="18.0" customHeight="1">
      <c r="A90" s="55"/>
      <c r="B90" s="56"/>
      <c r="C90" s="72" t="s">
        <v>28</v>
      </c>
      <c r="D90" s="62" t="str">
        <f>'管理シフト'!D59</f>
        <v/>
      </c>
      <c r="E90" s="50">
        <v>33000.0</v>
      </c>
      <c r="F90" s="51">
        <v>18500.0</v>
      </c>
      <c r="G90" s="52">
        <f>E90-F90</f>
        <v>14500</v>
      </c>
      <c r="H90" s="53"/>
      <c r="I90" s="62" t="str">
        <f>'管理シフト'!G59</f>
        <v/>
      </c>
      <c r="J90" s="50"/>
      <c r="K90" s="51"/>
      <c r="L90" s="52">
        <f>J90-K90</f>
        <v>0</v>
      </c>
      <c r="M90" s="43" t="s">
        <v>29</v>
      </c>
      <c r="N90" s="54" t="s">
        <v>13</v>
      </c>
      <c r="O90" s="54" t="s">
        <v>14</v>
      </c>
      <c r="P90" s="54" t="s">
        <v>15</v>
      </c>
      <c r="Q90" s="43"/>
      <c r="R90" s="43"/>
      <c r="S90" s="43"/>
      <c r="T90" s="43"/>
    </row>
    <row r="91" ht="18.0" customHeight="1">
      <c r="A91" s="63"/>
      <c r="B91" s="64"/>
      <c r="C91" s="57"/>
      <c r="D91" s="58" t="s">
        <v>27</v>
      </c>
      <c r="E91" s="59">
        <v>0.0</v>
      </c>
      <c r="F91" s="59">
        <v>2.0</v>
      </c>
      <c r="G91" s="60">
        <v>0.0</v>
      </c>
      <c r="H91" s="61"/>
      <c r="I91" s="58" t="s">
        <v>27</v>
      </c>
      <c r="J91" s="59"/>
      <c r="K91" s="59"/>
      <c r="L91" s="60"/>
      <c r="M91" s="43"/>
      <c r="N91" s="54">
        <f t="shared" ref="N91:P91" si="36">E89+E91+J89+J91</f>
        <v>0</v>
      </c>
      <c r="O91" s="54">
        <f t="shared" si="36"/>
        <v>3</v>
      </c>
      <c r="P91" s="54">
        <f t="shared" si="36"/>
        <v>1</v>
      </c>
      <c r="Q91" s="43"/>
      <c r="R91" s="43"/>
      <c r="S91" s="43"/>
      <c r="T91" s="43"/>
    </row>
    <row r="92" ht="18.0" customHeight="1">
      <c r="A92" s="43"/>
      <c r="B92" s="65"/>
      <c r="C92" s="74"/>
      <c r="D92" s="73"/>
      <c r="E92" s="67"/>
      <c r="F92" s="67"/>
      <c r="G92" s="68"/>
      <c r="H92" s="53"/>
      <c r="I92" s="73"/>
      <c r="J92" s="69">
        <f t="shared" ref="J92:K92" si="37">E88+E90+J88+J90</f>
        <v>57000</v>
      </c>
      <c r="K92" s="69">
        <f t="shared" si="37"/>
        <v>30500</v>
      </c>
      <c r="L92" s="69">
        <f>SUM(G88+G90+L88+L90+Q88+Q90)</f>
        <v>26500</v>
      </c>
      <c r="M92" s="43"/>
      <c r="N92" s="54"/>
      <c r="O92" s="54"/>
      <c r="P92" s="54"/>
      <c r="Q92" s="43"/>
      <c r="R92" s="43"/>
      <c r="S92" s="43"/>
      <c r="T92" s="43"/>
    </row>
    <row r="93" ht="18.0" customHeight="1">
      <c r="A93" s="46">
        <v>19.0</v>
      </c>
      <c r="B93" s="70" t="str">
        <f>'【大井町】売上'!C22</f>
        <v>木</v>
      </c>
      <c r="C93" s="72" t="s">
        <v>26</v>
      </c>
      <c r="D93" s="49" t="str">
        <f>'管理シフト'!D61</f>
        <v/>
      </c>
      <c r="E93" s="59"/>
      <c r="F93" s="59"/>
      <c r="G93" s="60"/>
      <c r="H93" s="53"/>
      <c r="I93" s="49" t="str">
        <f>'管理シフト'!G61</f>
        <v/>
      </c>
      <c r="J93" s="50">
        <v>15000.0</v>
      </c>
      <c r="K93" s="51">
        <v>8500.0</v>
      </c>
      <c r="L93" s="52">
        <f>J93-K93</f>
        <v>6500</v>
      </c>
      <c r="M93" s="43"/>
      <c r="N93" s="54"/>
      <c r="O93" s="54"/>
      <c r="P93" s="54"/>
      <c r="Q93" s="43"/>
      <c r="R93" s="43"/>
      <c r="S93" s="43"/>
      <c r="T93" s="43"/>
    </row>
    <row r="94" ht="18.0" customHeight="1">
      <c r="A94" s="55"/>
      <c r="B94" s="56"/>
      <c r="C94" s="57"/>
      <c r="D94" s="58" t="s">
        <v>27</v>
      </c>
      <c r="E94" s="50"/>
      <c r="F94" s="51"/>
      <c r="G94" s="52">
        <f t="shared" ref="G94:G95" si="38">E94-F94</f>
        <v>0</v>
      </c>
      <c r="H94" s="61"/>
      <c r="I94" s="58" t="s">
        <v>27</v>
      </c>
      <c r="J94" s="59">
        <v>0.0</v>
      </c>
      <c r="K94" s="59">
        <v>1.0</v>
      </c>
      <c r="L94" s="60">
        <v>0.0</v>
      </c>
      <c r="M94" s="43"/>
      <c r="N94" s="54"/>
      <c r="O94" s="54"/>
      <c r="P94" s="54"/>
      <c r="Q94" s="43"/>
      <c r="R94" s="43"/>
      <c r="S94" s="43"/>
      <c r="T94" s="43"/>
    </row>
    <row r="95" ht="18.0" customHeight="1">
      <c r="A95" s="55"/>
      <c r="B95" s="56"/>
      <c r="C95" s="72" t="s">
        <v>28</v>
      </c>
      <c r="D95" s="62" t="str">
        <f>'管理シフト'!D62</f>
        <v/>
      </c>
      <c r="E95" s="59">
        <v>29000.0</v>
      </c>
      <c r="F95" s="59">
        <v>16500.0</v>
      </c>
      <c r="G95" s="52">
        <f t="shared" si="38"/>
        <v>12500</v>
      </c>
      <c r="H95" s="53"/>
      <c r="I95" s="62" t="str">
        <f>'管理シフト'!G62</f>
        <v/>
      </c>
      <c r="J95" s="50">
        <v>0.0</v>
      </c>
      <c r="K95" s="51">
        <v>0.0</v>
      </c>
      <c r="L95" s="52">
        <f>J95-K95</f>
        <v>0</v>
      </c>
      <c r="M95" s="43"/>
      <c r="N95" s="54" t="s">
        <v>13</v>
      </c>
      <c r="O95" s="54" t="s">
        <v>14</v>
      </c>
      <c r="P95" s="54" t="s">
        <v>15</v>
      </c>
      <c r="Q95" s="43"/>
      <c r="R95" s="43"/>
      <c r="S95" s="43"/>
      <c r="T95" s="43"/>
    </row>
    <row r="96" ht="18.0" customHeight="1">
      <c r="A96" s="63"/>
      <c r="B96" s="64"/>
      <c r="C96" s="57"/>
      <c r="D96" s="58" t="s">
        <v>27</v>
      </c>
      <c r="E96" s="50">
        <v>0.0</v>
      </c>
      <c r="F96" s="51">
        <v>1.0</v>
      </c>
      <c r="G96" s="52">
        <v>1.0</v>
      </c>
      <c r="H96" s="61"/>
      <c r="I96" s="58" t="s">
        <v>27</v>
      </c>
      <c r="J96" s="59"/>
      <c r="K96" s="59"/>
      <c r="L96" s="60"/>
      <c r="M96" s="43"/>
      <c r="N96" s="54">
        <f t="shared" ref="N96:P96" si="39">E94+E96+J94+J96</f>
        <v>0</v>
      </c>
      <c r="O96" s="54">
        <f t="shared" si="39"/>
        <v>2</v>
      </c>
      <c r="P96" s="54">
        <f t="shared" si="39"/>
        <v>1</v>
      </c>
      <c r="Q96" s="43"/>
      <c r="R96" s="43"/>
      <c r="S96" s="43"/>
      <c r="T96" s="43"/>
    </row>
    <row r="97" ht="18.0" customHeight="1">
      <c r="A97" s="43"/>
      <c r="B97" s="65"/>
      <c r="C97" s="74"/>
      <c r="D97" s="73"/>
      <c r="E97" s="59"/>
      <c r="F97" s="59"/>
      <c r="G97" s="60"/>
      <c r="H97" s="53"/>
      <c r="I97" s="73"/>
      <c r="J97" s="69">
        <f t="shared" ref="J97:K97" si="40">E93+E95+J93+J95</f>
        <v>44000</v>
      </c>
      <c r="K97" s="69">
        <f t="shared" si="40"/>
        <v>25000</v>
      </c>
      <c r="L97" s="69">
        <f>SUM(G93+G95+L93+L95+Q93+Q95)</f>
        <v>19000</v>
      </c>
      <c r="M97" s="43"/>
      <c r="N97" s="54"/>
      <c r="O97" s="54"/>
      <c r="P97" s="54"/>
      <c r="Q97" s="43"/>
      <c r="R97" s="43"/>
      <c r="S97" s="43"/>
      <c r="T97" s="43"/>
    </row>
    <row r="98" ht="18.0" customHeight="1">
      <c r="A98" s="46">
        <v>20.0</v>
      </c>
      <c r="B98" s="70" t="str">
        <f>'【大井町】売上'!C23</f>
        <v>金</v>
      </c>
      <c r="C98" s="72" t="s">
        <v>26</v>
      </c>
      <c r="D98" s="49" t="str">
        <f>'管理シフト'!D64</f>
        <v/>
      </c>
      <c r="E98" s="50"/>
      <c r="F98" s="51"/>
      <c r="G98" s="52">
        <f>E98-F98</f>
        <v>0</v>
      </c>
      <c r="H98" s="53"/>
      <c r="I98" s="49" t="str">
        <f>'管理シフト'!G64</f>
        <v/>
      </c>
      <c r="J98" s="50">
        <v>16000.0</v>
      </c>
      <c r="K98" s="51">
        <v>10000.0</v>
      </c>
      <c r="L98" s="52">
        <f>J98-K98</f>
        <v>6000</v>
      </c>
      <c r="M98" s="43"/>
      <c r="N98" s="54"/>
      <c r="O98" s="54"/>
      <c r="P98" s="54"/>
      <c r="Q98" s="43"/>
      <c r="R98" s="43"/>
      <c r="S98" s="43"/>
      <c r="T98" s="43"/>
    </row>
    <row r="99" ht="18.0" customHeight="1">
      <c r="A99" s="55"/>
      <c r="B99" s="56"/>
      <c r="C99" s="57"/>
      <c r="D99" s="58" t="s">
        <v>27</v>
      </c>
      <c r="E99" s="59"/>
      <c r="F99" s="59"/>
      <c r="G99" s="60"/>
      <c r="H99" s="61"/>
      <c r="I99" s="58" t="s">
        <v>27</v>
      </c>
      <c r="J99" s="59">
        <v>0.0</v>
      </c>
      <c r="K99" s="59">
        <v>0.0</v>
      </c>
      <c r="L99" s="60">
        <v>1.0</v>
      </c>
      <c r="M99" s="43"/>
      <c r="N99" s="54"/>
      <c r="O99" s="54"/>
      <c r="P99" s="54"/>
      <c r="Q99" s="43"/>
      <c r="R99" s="43"/>
      <c r="S99" s="43"/>
      <c r="T99" s="43"/>
    </row>
    <row r="100" ht="18.0" customHeight="1">
      <c r="A100" s="55"/>
      <c r="B100" s="56"/>
      <c r="C100" s="72" t="s">
        <v>28</v>
      </c>
      <c r="D100" s="49" t="str">
        <f>'管理シフト'!D65</f>
        <v/>
      </c>
      <c r="E100" s="50">
        <v>46000.0</v>
      </c>
      <c r="F100" s="51">
        <v>26000.0</v>
      </c>
      <c r="G100" s="52">
        <f>E100-F100</f>
        <v>20000</v>
      </c>
      <c r="H100" s="53"/>
      <c r="I100" s="49" t="str">
        <f>'管理シフト'!G65</f>
        <v/>
      </c>
      <c r="J100" s="50">
        <v>30000.0</v>
      </c>
      <c r="K100" s="51">
        <v>15000.0</v>
      </c>
      <c r="L100" s="52">
        <f>J100-K100</f>
        <v>15000</v>
      </c>
      <c r="M100" s="43"/>
      <c r="N100" s="54" t="s">
        <v>13</v>
      </c>
      <c r="O100" s="54" t="s">
        <v>14</v>
      </c>
      <c r="P100" s="54" t="s">
        <v>15</v>
      </c>
      <c r="Q100" s="43"/>
      <c r="R100" s="43"/>
      <c r="S100" s="43"/>
      <c r="T100" s="43"/>
    </row>
    <row r="101" ht="18.0" customHeight="1">
      <c r="A101" s="63"/>
      <c r="B101" s="64"/>
      <c r="C101" s="57"/>
      <c r="D101" s="58" t="s">
        <v>27</v>
      </c>
      <c r="E101" s="59">
        <v>0.0</v>
      </c>
      <c r="F101" s="59">
        <v>1.0</v>
      </c>
      <c r="G101" s="60">
        <v>2.0</v>
      </c>
      <c r="H101" s="61"/>
      <c r="I101" s="58" t="s">
        <v>27</v>
      </c>
      <c r="J101" s="59">
        <v>1.0</v>
      </c>
      <c r="K101" s="59">
        <v>1.0</v>
      </c>
      <c r="L101" s="60">
        <v>0.0</v>
      </c>
      <c r="M101" s="43"/>
      <c r="N101" s="54">
        <f t="shared" ref="N101:P101" si="41">E99+E101+J99+J101</f>
        <v>1</v>
      </c>
      <c r="O101" s="54">
        <f t="shared" si="41"/>
        <v>2</v>
      </c>
      <c r="P101" s="54">
        <f t="shared" si="41"/>
        <v>3</v>
      </c>
      <c r="Q101" s="43"/>
      <c r="R101" s="43"/>
      <c r="S101" s="43"/>
      <c r="T101" s="43"/>
    </row>
    <row r="102" ht="18.0" customHeight="1">
      <c r="A102" s="43"/>
      <c r="B102" s="65"/>
      <c r="C102" s="74"/>
      <c r="D102" s="73"/>
      <c r="E102" s="67"/>
      <c r="F102" s="67"/>
      <c r="G102" s="68"/>
      <c r="H102" s="53"/>
      <c r="I102" s="73"/>
      <c r="J102" s="69">
        <f t="shared" ref="J102:K102" si="42">E98+E100+J98+J100</f>
        <v>92000</v>
      </c>
      <c r="K102" s="69">
        <f t="shared" si="42"/>
        <v>51000</v>
      </c>
      <c r="L102" s="69">
        <f>SUM(G98+G100+L98+L100+Q98+Q100)</f>
        <v>41000</v>
      </c>
      <c r="M102" s="43"/>
      <c r="N102" s="54"/>
      <c r="O102" s="54"/>
      <c r="P102" s="54"/>
      <c r="Q102" s="43"/>
      <c r="R102" s="43"/>
      <c r="S102" s="43"/>
      <c r="T102" s="43"/>
    </row>
    <row r="103" ht="18.0" customHeight="1">
      <c r="A103" s="46">
        <v>21.0</v>
      </c>
      <c r="B103" s="70" t="str">
        <f>'【大井町】売上'!C24</f>
        <v>土</v>
      </c>
      <c r="C103" s="72" t="s">
        <v>26</v>
      </c>
      <c r="D103" s="49" t="str">
        <f>'管理シフト'!D67</f>
        <v/>
      </c>
      <c r="E103" s="50">
        <v>15000.0</v>
      </c>
      <c r="F103" s="51">
        <v>8827.0</v>
      </c>
      <c r="G103" s="52">
        <f>E103-F103</f>
        <v>6173</v>
      </c>
      <c r="H103" s="53"/>
      <c r="I103" s="49" t="str">
        <f>'管理シフト'!G67</f>
        <v/>
      </c>
      <c r="J103" s="50">
        <v>53000.0</v>
      </c>
      <c r="K103" s="51">
        <v>31000.0</v>
      </c>
      <c r="L103" s="52">
        <f>J103-K103</f>
        <v>22000</v>
      </c>
      <c r="M103" s="43"/>
      <c r="N103" s="54"/>
      <c r="O103" s="54"/>
      <c r="P103" s="54"/>
      <c r="Q103" s="43"/>
      <c r="R103" s="43"/>
      <c r="S103" s="43"/>
      <c r="T103" s="43"/>
    </row>
    <row r="104" ht="18.0" customHeight="1">
      <c r="A104" s="55"/>
      <c r="B104" s="56"/>
      <c r="C104" s="57"/>
      <c r="D104" s="58" t="s">
        <v>27</v>
      </c>
      <c r="E104" s="59">
        <v>0.0</v>
      </c>
      <c r="F104" s="59">
        <v>1.0</v>
      </c>
      <c r="G104" s="60">
        <v>0.0</v>
      </c>
      <c r="H104" s="61"/>
      <c r="I104" s="58" t="s">
        <v>27</v>
      </c>
      <c r="J104" s="59">
        <v>0.0</v>
      </c>
      <c r="K104" s="59">
        <v>2.0</v>
      </c>
      <c r="L104" s="60">
        <v>1.0</v>
      </c>
      <c r="M104" s="43"/>
      <c r="N104" s="54"/>
      <c r="O104" s="54"/>
      <c r="P104" s="54"/>
      <c r="Q104" s="43"/>
      <c r="R104" s="43"/>
      <c r="S104" s="43"/>
      <c r="T104" s="43"/>
    </row>
    <row r="105" ht="18.0" customHeight="1">
      <c r="A105" s="55"/>
      <c r="B105" s="56"/>
      <c r="C105" s="72" t="s">
        <v>28</v>
      </c>
      <c r="D105" s="62" t="str">
        <f>'管理シフト'!D68</f>
        <v/>
      </c>
      <c r="E105" s="50">
        <v>28000.0</v>
      </c>
      <c r="F105" s="51">
        <v>16000.0</v>
      </c>
      <c r="G105" s="52">
        <f>E105-F105</f>
        <v>12000</v>
      </c>
      <c r="H105" s="53"/>
      <c r="I105" s="62" t="str">
        <f>'管理シフト'!G68</f>
        <v/>
      </c>
      <c r="J105" s="50"/>
      <c r="K105" s="51"/>
      <c r="L105" s="52">
        <f>J105-K105</f>
        <v>0</v>
      </c>
      <c r="M105" s="43"/>
      <c r="N105" s="54" t="s">
        <v>13</v>
      </c>
      <c r="O105" s="54" t="s">
        <v>14</v>
      </c>
      <c r="P105" s="54" t="s">
        <v>15</v>
      </c>
      <c r="Q105" s="43"/>
      <c r="R105" s="43"/>
      <c r="S105" s="43"/>
      <c r="T105" s="43"/>
    </row>
    <row r="106" ht="18.0" customHeight="1">
      <c r="A106" s="63"/>
      <c r="B106" s="64"/>
      <c r="C106" s="57"/>
      <c r="D106" s="58" t="s">
        <v>27</v>
      </c>
      <c r="E106" s="59">
        <v>0.0</v>
      </c>
      <c r="F106" s="59">
        <v>1.0</v>
      </c>
      <c r="G106" s="60">
        <v>1.0</v>
      </c>
      <c r="H106" s="61"/>
      <c r="I106" s="58" t="s">
        <v>27</v>
      </c>
      <c r="J106" s="59"/>
      <c r="K106" s="59"/>
      <c r="L106" s="60"/>
      <c r="M106" s="43"/>
      <c r="N106" s="54">
        <f t="shared" ref="N106:P106" si="43">E104+E106+J104+J106</f>
        <v>0</v>
      </c>
      <c r="O106" s="54">
        <f t="shared" si="43"/>
        <v>4</v>
      </c>
      <c r="P106" s="54">
        <f t="shared" si="43"/>
        <v>2</v>
      </c>
      <c r="Q106" s="43"/>
      <c r="R106" s="43"/>
      <c r="S106" s="43"/>
      <c r="T106" s="43"/>
    </row>
    <row r="107" ht="18.0" customHeight="1">
      <c r="A107" s="43"/>
      <c r="B107" s="65"/>
      <c r="C107" s="74"/>
      <c r="D107" s="73"/>
      <c r="E107" s="67"/>
      <c r="F107" s="67"/>
      <c r="G107" s="68"/>
      <c r="H107" s="53"/>
      <c r="I107" s="73"/>
      <c r="J107" s="69">
        <f t="shared" ref="J107:K107" si="44">E103+E105+J103+J105</f>
        <v>96000</v>
      </c>
      <c r="K107" s="69">
        <f t="shared" si="44"/>
        <v>55827</v>
      </c>
      <c r="L107" s="69">
        <f>SUM(G103+G105+L103+L105+Q103+Q105)</f>
        <v>40173</v>
      </c>
      <c r="M107" s="43"/>
      <c r="N107" s="54"/>
      <c r="O107" s="54"/>
      <c r="P107" s="54"/>
      <c r="Q107" s="43"/>
      <c r="R107" s="43"/>
      <c r="S107" s="43"/>
      <c r="T107" s="43"/>
    </row>
    <row r="108" ht="18.0" customHeight="1">
      <c r="A108" s="46">
        <v>22.0</v>
      </c>
      <c r="B108" s="70" t="str">
        <f>'【大井町】売上'!C25</f>
        <v>日</v>
      </c>
      <c r="C108" s="48" t="s">
        <v>26</v>
      </c>
      <c r="D108" s="76" t="str">
        <f>'管理シフト'!D70</f>
        <v/>
      </c>
      <c r="E108" s="77">
        <v>12000.0</v>
      </c>
      <c r="F108" s="77">
        <v>6000.0</v>
      </c>
      <c r="G108" s="78">
        <f>E108-F108</f>
        <v>6000</v>
      </c>
      <c r="H108" s="79"/>
      <c r="I108" s="76" t="str">
        <f>'管理シフト'!G70</f>
        <v/>
      </c>
      <c r="J108" s="80">
        <v>0.0</v>
      </c>
      <c r="K108" s="81">
        <v>0.0</v>
      </c>
      <c r="L108" s="78">
        <f>J108-K108</f>
        <v>0</v>
      </c>
      <c r="M108" s="43"/>
      <c r="N108" s="54"/>
      <c r="O108" s="54"/>
      <c r="P108" s="54"/>
      <c r="Q108" s="43"/>
      <c r="R108" s="43"/>
      <c r="S108" s="43"/>
      <c r="T108" s="43"/>
    </row>
    <row r="109" ht="18.0" customHeight="1">
      <c r="A109" s="55"/>
      <c r="B109" s="56"/>
      <c r="C109" s="57"/>
      <c r="D109" s="82" t="s">
        <v>27</v>
      </c>
      <c r="E109" s="80">
        <v>0.0</v>
      </c>
      <c r="F109" s="81">
        <v>1.0</v>
      </c>
      <c r="G109" s="78">
        <v>0.0</v>
      </c>
      <c r="H109" s="83"/>
      <c r="I109" s="82" t="s">
        <v>27</v>
      </c>
      <c r="J109" s="77"/>
      <c r="K109" s="77"/>
      <c r="L109" s="84"/>
      <c r="M109" s="43"/>
      <c r="N109" s="54"/>
      <c r="O109" s="54"/>
      <c r="P109" s="54"/>
      <c r="Q109" s="43"/>
      <c r="R109" s="43"/>
      <c r="S109" s="43"/>
      <c r="T109" s="43"/>
    </row>
    <row r="110" ht="18.0" customHeight="1">
      <c r="A110" s="55"/>
      <c r="B110" s="56"/>
      <c r="C110" s="48" t="s">
        <v>28</v>
      </c>
      <c r="D110" s="85" t="str">
        <f>'管理シフト'!D71</f>
        <v/>
      </c>
      <c r="E110" s="77">
        <v>31000.0</v>
      </c>
      <c r="F110" s="77">
        <v>16500.0</v>
      </c>
      <c r="G110" s="78">
        <f>E110-F110</f>
        <v>14500</v>
      </c>
      <c r="H110" s="79"/>
      <c r="I110" s="85" t="str">
        <f>'管理シフト'!G71</f>
        <v/>
      </c>
      <c r="J110" s="80">
        <v>14000.0</v>
      </c>
      <c r="K110" s="81">
        <v>8000.0</v>
      </c>
      <c r="L110" s="78">
        <f>J110-K110</f>
        <v>6000</v>
      </c>
      <c r="M110" s="43"/>
      <c r="N110" s="54" t="s">
        <v>13</v>
      </c>
      <c r="O110" s="54" t="s">
        <v>14</v>
      </c>
      <c r="P110" s="54" t="s">
        <v>15</v>
      </c>
      <c r="Q110" s="43"/>
      <c r="R110" s="43"/>
      <c r="S110" s="43"/>
      <c r="T110" s="43"/>
    </row>
    <row r="111" ht="18.0" customHeight="1">
      <c r="A111" s="63"/>
      <c r="B111" s="64"/>
      <c r="C111" s="57"/>
      <c r="D111" s="82" t="s">
        <v>27</v>
      </c>
      <c r="E111" s="80">
        <v>0.0</v>
      </c>
      <c r="F111" s="81">
        <v>2.0</v>
      </c>
      <c r="G111" s="34">
        <v>0.0</v>
      </c>
      <c r="H111" s="83"/>
      <c r="I111" s="82" t="s">
        <v>27</v>
      </c>
      <c r="J111" s="77">
        <v>1.0</v>
      </c>
      <c r="K111" s="77">
        <v>0.0</v>
      </c>
      <c r="L111" s="84">
        <v>0.0</v>
      </c>
      <c r="M111" s="43"/>
      <c r="N111" s="54">
        <f t="shared" ref="N111:O111" si="45">E109+E111+J109+J111</f>
        <v>1</v>
      </c>
      <c r="O111" s="54">
        <f t="shared" si="45"/>
        <v>3</v>
      </c>
      <c r="P111" s="54">
        <f>G109+G110+L109+L111</f>
        <v>14500</v>
      </c>
      <c r="Q111" s="43"/>
      <c r="R111" s="43"/>
      <c r="S111" s="43"/>
      <c r="T111" s="43"/>
    </row>
    <row r="112" ht="18.0" customHeight="1">
      <c r="A112" s="43"/>
      <c r="B112" s="65"/>
      <c r="C112" s="43"/>
      <c r="D112" s="86"/>
      <c r="E112" s="77"/>
      <c r="F112" s="77"/>
      <c r="G112" s="84"/>
      <c r="H112" s="79"/>
      <c r="I112" s="86"/>
      <c r="J112" s="87">
        <f t="shared" ref="J112:K112" si="46">E108+E110+J108+J110</f>
        <v>57000</v>
      </c>
      <c r="K112" s="87">
        <f t="shared" si="46"/>
        <v>30500</v>
      </c>
      <c r="L112" s="87">
        <f>SUM(G108+G110+L108+L110)</f>
        <v>26500</v>
      </c>
      <c r="M112" s="43"/>
      <c r="N112" s="54"/>
      <c r="O112" s="54"/>
      <c r="P112" s="54"/>
      <c r="Q112" s="43"/>
      <c r="R112" s="43"/>
      <c r="S112" s="43"/>
      <c r="T112" s="43"/>
    </row>
    <row r="113" ht="18.0" customHeight="1">
      <c r="A113" s="46">
        <v>23.0</v>
      </c>
      <c r="B113" s="70" t="str">
        <f>'【大井町】売上'!C26</f>
        <v>月</v>
      </c>
      <c r="C113" s="48" t="s">
        <v>26</v>
      </c>
      <c r="D113" s="76" t="str">
        <f>'管理シフト'!D73</f>
        <v/>
      </c>
      <c r="E113" s="80"/>
      <c r="F113" s="81"/>
      <c r="G113" s="78">
        <f>E113-F113</f>
        <v>0</v>
      </c>
      <c r="H113" s="79"/>
      <c r="I113" s="76" t="str">
        <f>'管理シフト'!G73</f>
        <v/>
      </c>
      <c r="J113" s="80"/>
      <c r="K113" s="81"/>
      <c r="L113" s="78">
        <f>J113-K113</f>
        <v>0</v>
      </c>
      <c r="M113" s="43"/>
      <c r="N113" s="54"/>
      <c r="O113" s="54"/>
      <c r="P113" s="54"/>
      <c r="Q113" s="43"/>
      <c r="R113" s="43"/>
      <c r="S113" s="43"/>
      <c r="T113" s="43"/>
    </row>
    <row r="114" ht="18.0" customHeight="1">
      <c r="A114" s="55"/>
      <c r="B114" s="56"/>
      <c r="C114" s="57"/>
      <c r="D114" s="82" t="s">
        <v>27</v>
      </c>
      <c r="E114" s="77"/>
      <c r="F114" s="77"/>
      <c r="G114" s="84"/>
      <c r="H114" s="83"/>
      <c r="I114" s="82" t="s">
        <v>27</v>
      </c>
      <c r="J114" s="77"/>
      <c r="K114" s="77"/>
      <c r="L114" s="84"/>
      <c r="M114" s="43"/>
      <c r="N114" s="54"/>
      <c r="O114" s="54"/>
      <c r="P114" s="54"/>
      <c r="Q114" s="43"/>
      <c r="R114" s="43"/>
      <c r="S114" s="43"/>
      <c r="T114" s="43"/>
    </row>
    <row r="115" ht="18.0" customHeight="1">
      <c r="A115" s="55"/>
      <c r="B115" s="56"/>
      <c r="C115" s="48" t="s">
        <v>28</v>
      </c>
      <c r="D115" s="85" t="str">
        <f>'管理シフト'!D74</f>
        <v/>
      </c>
      <c r="E115" s="80"/>
      <c r="F115" s="81"/>
      <c r="G115" s="78">
        <f>E115-F115</f>
        <v>0</v>
      </c>
      <c r="H115" s="79"/>
      <c r="I115" s="85" t="str">
        <f>'管理シフト'!G74</f>
        <v/>
      </c>
      <c r="J115" s="80"/>
      <c r="K115" s="81"/>
      <c r="L115" s="78">
        <f>J115-K115</f>
        <v>0</v>
      </c>
      <c r="M115" s="43"/>
      <c r="N115" s="54" t="s">
        <v>13</v>
      </c>
      <c r="O115" s="54" t="s">
        <v>14</v>
      </c>
      <c r="P115" s="54" t="s">
        <v>15</v>
      </c>
      <c r="Q115" s="43"/>
      <c r="R115" s="43"/>
      <c r="S115" s="43"/>
      <c r="T115" s="43"/>
    </row>
    <row r="116" ht="18.0" customHeight="1">
      <c r="A116" s="63"/>
      <c r="B116" s="64"/>
      <c r="C116" s="57"/>
      <c r="D116" s="82" t="s">
        <v>27</v>
      </c>
      <c r="E116" s="77"/>
      <c r="F116" s="77"/>
      <c r="G116" s="84"/>
      <c r="H116" s="83"/>
      <c r="I116" s="82" t="s">
        <v>27</v>
      </c>
      <c r="J116" s="77"/>
      <c r="K116" s="77"/>
      <c r="L116" s="84"/>
      <c r="M116" s="43"/>
      <c r="N116" s="54">
        <f t="shared" ref="N116:P116" si="47">E114+E116+J114+J116</f>
        <v>0</v>
      </c>
      <c r="O116" s="54">
        <f t="shared" si="47"/>
        <v>0</v>
      </c>
      <c r="P116" s="54">
        <f t="shared" si="47"/>
        <v>0</v>
      </c>
      <c r="Q116" s="43"/>
      <c r="R116" s="43"/>
      <c r="S116" s="43"/>
      <c r="T116" s="43"/>
    </row>
    <row r="117" ht="18.0" customHeight="1">
      <c r="A117" s="43"/>
      <c r="B117" s="65"/>
      <c r="C117" s="43"/>
      <c r="D117" s="86"/>
      <c r="E117" s="88"/>
      <c r="F117" s="88"/>
      <c r="G117" s="54"/>
      <c r="H117" s="79"/>
      <c r="I117" s="86"/>
      <c r="J117" s="87">
        <f t="shared" ref="J117:K117" si="48">E113+E115+J113+J115</f>
        <v>0</v>
      </c>
      <c r="K117" s="87">
        <f t="shared" si="48"/>
        <v>0</v>
      </c>
      <c r="L117" s="87">
        <f>SUM(G113+G115+L113+L115+Q113+Q115)</f>
        <v>0</v>
      </c>
      <c r="M117" s="43"/>
      <c r="N117" s="54"/>
      <c r="O117" s="54"/>
      <c r="P117" s="54"/>
      <c r="Q117" s="43"/>
      <c r="R117" s="43"/>
      <c r="S117" s="43"/>
      <c r="T117" s="43"/>
    </row>
    <row r="118" ht="18.0" customHeight="1">
      <c r="A118" s="46">
        <v>24.0</v>
      </c>
      <c r="B118" s="70" t="str">
        <f>'【大井町】売上'!C27</f>
        <v>火</v>
      </c>
      <c r="C118" s="48" t="s">
        <v>26</v>
      </c>
      <c r="D118" s="76" t="str">
        <f>'管理シフト'!D76</f>
        <v/>
      </c>
      <c r="E118" s="80"/>
      <c r="F118" s="81"/>
      <c r="G118" s="78">
        <f>E118-F118</f>
        <v>0</v>
      </c>
      <c r="H118" s="79"/>
      <c r="I118" s="76" t="str">
        <f>'管理シフト'!G76</f>
        <v/>
      </c>
      <c r="J118" s="80"/>
      <c r="K118" s="81"/>
      <c r="L118" s="78">
        <f>J118-K118</f>
        <v>0</v>
      </c>
      <c r="M118" s="43"/>
      <c r="N118" s="54"/>
      <c r="O118" s="54"/>
      <c r="P118" s="54"/>
      <c r="Q118" s="43"/>
      <c r="R118" s="43"/>
      <c r="S118" s="43"/>
      <c r="T118" s="43"/>
    </row>
    <row r="119" ht="18.0" customHeight="1">
      <c r="A119" s="55"/>
      <c r="B119" s="56"/>
      <c r="C119" s="57"/>
      <c r="D119" s="82" t="s">
        <v>27</v>
      </c>
      <c r="E119" s="77"/>
      <c r="F119" s="77"/>
      <c r="G119" s="84"/>
      <c r="H119" s="83"/>
      <c r="I119" s="82" t="s">
        <v>27</v>
      </c>
      <c r="J119" s="77"/>
      <c r="K119" s="77"/>
      <c r="L119" s="84"/>
      <c r="M119" s="43"/>
      <c r="N119" s="54"/>
      <c r="O119" s="54"/>
      <c r="P119" s="54"/>
      <c r="Q119" s="43"/>
      <c r="R119" s="43"/>
      <c r="S119" s="43"/>
      <c r="T119" s="43"/>
    </row>
    <row r="120" ht="18.0" customHeight="1">
      <c r="A120" s="55"/>
      <c r="B120" s="56"/>
      <c r="C120" s="48" t="s">
        <v>28</v>
      </c>
      <c r="D120" s="85" t="str">
        <f>'管理シフト'!D77</f>
        <v/>
      </c>
      <c r="E120" s="80"/>
      <c r="F120" s="81"/>
      <c r="G120" s="78">
        <f>E120-F120</f>
        <v>0</v>
      </c>
      <c r="H120" s="79"/>
      <c r="I120" s="85" t="str">
        <f>'管理シフト'!G77</f>
        <v/>
      </c>
      <c r="J120" s="80"/>
      <c r="K120" s="81"/>
      <c r="L120" s="78">
        <f>J120-K120</f>
        <v>0</v>
      </c>
      <c r="M120" s="43"/>
      <c r="N120" s="54" t="s">
        <v>13</v>
      </c>
      <c r="O120" s="54" t="s">
        <v>14</v>
      </c>
      <c r="P120" s="54" t="s">
        <v>15</v>
      </c>
      <c r="Q120" s="43"/>
      <c r="R120" s="43"/>
      <c r="S120" s="43"/>
      <c r="T120" s="43"/>
    </row>
    <row r="121" ht="18.0" customHeight="1">
      <c r="A121" s="63"/>
      <c r="B121" s="64"/>
      <c r="C121" s="57"/>
      <c r="D121" s="82" t="s">
        <v>27</v>
      </c>
      <c r="E121" s="77"/>
      <c r="F121" s="77"/>
      <c r="G121" s="84"/>
      <c r="H121" s="83"/>
      <c r="I121" s="82" t="s">
        <v>27</v>
      </c>
      <c r="J121" s="77"/>
      <c r="K121" s="77"/>
      <c r="L121" s="84"/>
      <c r="M121" s="43"/>
      <c r="N121" s="54">
        <f t="shared" ref="N121:P121" si="49">E119+E121+J119+J121</f>
        <v>0</v>
      </c>
      <c r="O121" s="54">
        <f t="shared" si="49"/>
        <v>0</v>
      </c>
      <c r="P121" s="54">
        <f t="shared" si="49"/>
        <v>0</v>
      </c>
      <c r="Q121" s="43"/>
      <c r="R121" s="43"/>
      <c r="S121" s="43"/>
      <c r="T121" s="43"/>
    </row>
    <row r="122" ht="18.0" customHeight="1">
      <c r="A122" s="43"/>
      <c r="B122" s="65"/>
      <c r="C122" s="43"/>
      <c r="D122" s="86"/>
      <c r="E122" s="88"/>
      <c r="F122" s="88"/>
      <c r="G122" s="54"/>
      <c r="H122" s="79"/>
      <c r="I122" s="86"/>
      <c r="J122" s="87">
        <f t="shared" ref="J122:K122" si="50">E118+E120+J118+J120</f>
        <v>0</v>
      </c>
      <c r="K122" s="87">
        <f t="shared" si="50"/>
        <v>0</v>
      </c>
      <c r="L122" s="87">
        <f>SUM(G118+G120+L118+L120+Q118+Q120)</f>
        <v>0</v>
      </c>
      <c r="M122" s="43"/>
      <c r="N122" s="43"/>
      <c r="O122" s="43"/>
      <c r="P122" s="43"/>
    </row>
    <row r="123" ht="18.0" customHeight="1">
      <c r="A123" s="46">
        <v>25.0</v>
      </c>
      <c r="B123" s="70" t="str">
        <f>'【大井町】売上'!C28</f>
        <v>水</v>
      </c>
      <c r="C123" s="48" t="s">
        <v>26</v>
      </c>
      <c r="D123" s="76" t="str">
        <f>'管理シフト'!D79</f>
        <v/>
      </c>
      <c r="E123" s="80"/>
      <c r="F123" s="81"/>
      <c r="G123" s="78">
        <f>E123-F123</f>
        <v>0</v>
      </c>
      <c r="H123" s="79"/>
      <c r="I123" s="76" t="str">
        <f>'管理シフト'!G79</f>
        <v/>
      </c>
      <c r="J123" s="80"/>
      <c r="K123" s="81"/>
      <c r="L123" s="78">
        <f>J123-K123</f>
        <v>0</v>
      </c>
      <c r="M123" s="43"/>
      <c r="N123" s="43"/>
      <c r="O123" s="43"/>
      <c r="P123" s="43"/>
    </row>
    <row r="124" ht="18.0" customHeight="1">
      <c r="A124" s="55"/>
      <c r="B124" s="56"/>
      <c r="C124" s="57"/>
      <c r="D124" s="82" t="s">
        <v>27</v>
      </c>
      <c r="E124" s="77"/>
      <c r="F124" s="77"/>
      <c r="G124" s="84">
        <v>0.0</v>
      </c>
      <c r="H124" s="83"/>
      <c r="I124" s="82" t="s">
        <v>27</v>
      </c>
      <c r="J124" s="77"/>
      <c r="K124" s="77"/>
      <c r="L124" s="84"/>
      <c r="M124" s="43"/>
      <c r="N124" s="43"/>
      <c r="O124" s="43"/>
      <c r="P124" s="43"/>
    </row>
    <row r="125" ht="18.0" customHeight="1">
      <c r="A125" s="55"/>
      <c r="B125" s="56"/>
      <c r="C125" s="48" t="s">
        <v>28</v>
      </c>
      <c r="D125" s="85" t="str">
        <f>'管理シフト'!D80</f>
        <v/>
      </c>
      <c r="E125" s="80"/>
      <c r="F125" s="81"/>
      <c r="G125" s="78">
        <f>E125-F125</f>
        <v>0</v>
      </c>
      <c r="H125" s="79"/>
      <c r="I125" s="85" t="str">
        <f>'管理シフト'!G80</f>
        <v/>
      </c>
      <c r="J125" s="80"/>
      <c r="K125" s="81"/>
      <c r="L125" s="78">
        <f>J125-K125</f>
        <v>0</v>
      </c>
      <c r="M125" s="43"/>
      <c r="N125" s="54" t="s">
        <v>13</v>
      </c>
      <c r="O125" s="54" t="s">
        <v>14</v>
      </c>
      <c r="P125" s="54" t="s">
        <v>15</v>
      </c>
    </row>
    <row r="126" ht="18.0" customHeight="1">
      <c r="A126" s="63"/>
      <c r="B126" s="64"/>
      <c r="C126" s="57"/>
      <c r="D126" s="82" t="s">
        <v>27</v>
      </c>
      <c r="E126" s="77"/>
      <c r="F126" s="77"/>
      <c r="G126" s="84">
        <v>1.0</v>
      </c>
      <c r="H126" s="83"/>
      <c r="I126" s="82" t="s">
        <v>27</v>
      </c>
      <c r="J126" s="77"/>
      <c r="K126" s="77"/>
      <c r="L126" s="84"/>
      <c r="M126" s="43"/>
      <c r="N126" s="54">
        <f t="shared" ref="N126:P126" si="51">E124+E126+J124+J126</f>
        <v>0</v>
      </c>
      <c r="O126" s="54">
        <f t="shared" si="51"/>
        <v>0</v>
      </c>
      <c r="P126" s="54">
        <f t="shared" si="51"/>
        <v>1</v>
      </c>
    </row>
    <row r="127" ht="18.0" customHeight="1">
      <c r="A127" s="43"/>
      <c r="B127" s="65"/>
      <c r="C127" s="43"/>
      <c r="D127" s="86"/>
      <c r="E127" s="54"/>
      <c r="F127" s="54"/>
      <c r="G127" s="54"/>
      <c r="H127" s="79"/>
      <c r="I127" s="86"/>
      <c r="J127" s="87">
        <f t="shared" ref="J127:K127" si="52">E123+E125+J123+J125</f>
        <v>0</v>
      </c>
      <c r="K127" s="87">
        <f t="shared" si="52"/>
        <v>0</v>
      </c>
      <c r="L127" s="87">
        <f>SUM(G123+G125+L123+L125+Q123+Q125)</f>
        <v>0</v>
      </c>
      <c r="M127" s="43"/>
      <c r="N127" s="54"/>
      <c r="O127" s="54"/>
      <c r="P127" s="54"/>
    </row>
    <row r="128" ht="18.0" customHeight="1">
      <c r="A128" s="46">
        <v>26.0</v>
      </c>
      <c r="B128" s="89" t="str">
        <f>'【大井町】売上'!C29</f>
        <v>木</v>
      </c>
      <c r="C128" s="48" t="s">
        <v>26</v>
      </c>
      <c r="D128" s="85" t="str">
        <f>'管理シフト'!D82</f>
        <v/>
      </c>
      <c r="E128" s="80"/>
      <c r="F128" s="81"/>
      <c r="G128" s="78">
        <f>E128-F128</f>
        <v>0</v>
      </c>
      <c r="H128" s="79"/>
      <c r="I128" s="85" t="str">
        <f>'管理シフト'!G82</f>
        <v/>
      </c>
      <c r="J128" s="80"/>
      <c r="K128" s="81"/>
      <c r="L128" s="78">
        <f>J128-K128</f>
        <v>0</v>
      </c>
      <c r="M128" s="43"/>
      <c r="N128" s="54"/>
      <c r="O128" s="54"/>
      <c r="P128" s="54"/>
    </row>
    <row r="129" ht="18.0" customHeight="1">
      <c r="A129" s="55"/>
      <c r="B129" s="56"/>
      <c r="C129" s="57"/>
      <c r="D129" s="82" t="s">
        <v>27</v>
      </c>
      <c r="E129" s="77"/>
      <c r="F129" s="77"/>
      <c r="G129" s="84"/>
      <c r="H129" s="83"/>
      <c r="I129" s="82" t="s">
        <v>27</v>
      </c>
      <c r="J129" s="77"/>
      <c r="K129" s="77"/>
      <c r="L129" s="84"/>
      <c r="M129" s="43"/>
      <c r="N129" s="54"/>
      <c r="O129" s="54"/>
      <c r="P129" s="54"/>
    </row>
    <row r="130" ht="18.0" customHeight="1">
      <c r="A130" s="55"/>
      <c r="B130" s="56"/>
      <c r="C130" s="48" t="s">
        <v>28</v>
      </c>
      <c r="D130" s="85" t="str">
        <f>'管理シフト'!D83</f>
        <v/>
      </c>
      <c r="E130" s="80"/>
      <c r="F130" s="81"/>
      <c r="G130" s="78">
        <f>E130-F130</f>
        <v>0</v>
      </c>
      <c r="H130" s="79"/>
      <c r="I130" s="85" t="str">
        <f>'管理シフト'!G83</f>
        <v/>
      </c>
      <c r="J130" s="80"/>
      <c r="K130" s="81"/>
      <c r="L130" s="78">
        <f>J130-K130</f>
        <v>0</v>
      </c>
      <c r="M130" s="43"/>
      <c r="N130" s="54" t="s">
        <v>13</v>
      </c>
      <c r="O130" s="54" t="s">
        <v>14</v>
      </c>
      <c r="P130" s="54" t="s">
        <v>15</v>
      </c>
    </row>
    <row r="131" ht="18.0" customHeight="1">
      <c r="A131" s="63"/>
      <c r="B131" s="64"/>
      <c r="C131" s="57"/>
      <c r="D131" s="82" t="s">
        <v>27</v>
      </c>
      <c r="E131" s="77"/>
      <c r="F131" s="77"/>
      <c r="G131" s="84">
        <v>2.0</v>
      </c>
      <c r="H131" s="83"/>
      <c r="I131" s="82" t="s">
        <v>27</v>
      </c>
      <c r="J131" s="77"/>
      <c r="K131" s="77"/>
      <c r="L131" s="84"/>
      <c r="M131" s="43"/>
      <c r="N131" s="54">
        <f t="shared" ref="N131:P131" si="53">E129+E131+J129+J131</f>
        <v>0</v>
      </c>
      <c r="O131" s="54">
        <f t="shared" si="53"/>
        <v>0</v>
      </c>
      <c r="P131" s="54">
        <f t="shared" si="53"/>
        <v>2</v>
      </c>
    </row>
    <row r="132" ht="18.0" customHeight="1">
      <c r="A132" s="43"/>
      <c r="B132" s="65"/>
      <c r="C132" s="43"/>
      <c r="D132" s="86"/>
      <c r="E132" s="54"/>
      <c r="F132" s="54"/>
      <c r="G132" s="54"/>
      <c r="H132" s="79"/>
      <c r="I132" s="86"/>
      <c r="J132" s="87">
        <f t="shared" ref="J132:L132" si="54">SUM(E128+E130+J128+J130)</f>
        <v>0</v>
      </c>
      <c r="K132" s="87">
        <f t="shared" si="54"/>
        <v>0</v>
      </c>
      <c r="L132" s="87">
        <f t="shared" si="54"/>
        <v>0</v>
      </c>
      <c r="M132" s="43"/>
      <c r="N132" s="54"/>
      <c r="O132" s="54"/>
      <c r="P132" s="54"/>
    </row>
    <row r="133" ht="18.0" customHeight="1">
      <c r="A133" s="46">
        <v>27.0</v>
      </c>
      <c r="B133" s="89" t="str">
        <f>'【大井町】売上'!C30</f>
        <v>金</v>
      </c>
      <c r="C133" s="48" t="s">
        <v>26</v>
      </c>
      <c r="D133" s="85" t="str">
        <f>'管理シフト'!D85</f>
        <v/>
      </c>
      <c r="E133" s="80"/>
      <c r="F133" s="81"/>
      <c r="G133" s="78">
        <f>E133-F133</f>
        <v>0</v>
      </c>
      <c r="H133" s="79"/>
      <c r="I133" s="85" t="str">
        <f>'管理シフト'!G85</f>
        <v/>
      </c>
      <c r="J133" s="80"/>
      <c r="K133" s="81"/>
      <c r="L133" s="78">
        <f>J133-K133</f>
        <v>0</v>
      </c>
      <c r="M133" s="43"/>
      <c r="N133" s="54"/>
      <c r="O133" s="54"/>
      <c r="P133" s="54"/>
    </row>
    <row r="134" ht="18.0" customHeight="1">
      <c r="A134" s="55"/>
      <c r="B134" s="56"/>
      <c r="C134" s="57"/>
      <c r="D134" s="82" t="s">
        <v>27</v>
      </c>
      <c r="E134" s="77"/>
      <c r="F134" s="77"/>
      <c r="G134" s="84"/>
      <c r="H134" s="83"/>
      <c r="I134" s="82" t="s">
        <v>27</v>
      </c>
      <c r="J134" s="77"/>
      <c r="K134" s="77"/>
      <c r="L134" s="84"/>
      <c r="M134" s="43"/>
      <c r="N134" s="54"/>
      <c r="O134" s="54"/>
      <c r="P134" s="54"/>
    </row>
    <row r="135" ht="18.0" customHeight="1">
      <c r="A135" s="55"/>
      <c r="B135" s="56"/>
      <c r="C135" s="48" t="s">
        <v>28</v>
      </c>
      <c r="D135" s="85" t="str">
        <f>'管理シフト'!D86</f>
        <v/>
      </c>
      <c r="E135" s="80"/>
      <c r="F135" s="81"/>
      <c r="G135" s="78">
        <f>E135-F135</f>
        <v>0</v>
      </c>
      <c r="H135" s="79"/>
      <c r="I135" s="85" t="str">
        <f>'管理シフト'!G86</f>
        <v/>
      </c>
      <c r="J135" s="80"/>
      <c r="K135" s="81"/>
      <c r="L135" s="78">
        <f>J135-K135</f>
        <v>0</v>
      </c>
      <c r="M135" s="43"/>
      <c r="N135" s="54" t="s">
        <v>13</v>
      </c>
      <c r="O135" s="54" t="s">
        <v>14</v>
      </c>
      <c r="P135" s="54" t="s">
        <v>15</v>
      </c>
    </row>
    <row r="136" ht="18.0" customHeight="1">
      <c r="A136" s="63"/>
      <c r="B136" s="64"/>
      <c r="C136" s="57"/>
      <c r="D136" s="82" t="s">
        <v>27</v>
      </c>
      <c r="E136" s="77"/>
      <c r="F136" s="77"/>
      <c r="G136" s="84">
        <v>1.0</v>
      </c>
      <c r="H136" s="83"/>
      <c r="I136" s="82" t="s">
        <v>27</v>
      </c>
      <c r="J136" s="77"/>
      <c r="K136" s="77"/>
      <c r="L136" s="84"/>
      <c r="M136" s="43"/>
      <c r="N136" s="54">
        <f t="shared" ref="N136:P136" si="55">E134+E136+J134+J136</f>
        <v>0</v>
      </c>
      <c r="O136" s="54">
        <f t="shared" si="55"/>
        <v>0</v>
      </c>
      <c r="P136" s="54">
        <f t="shared" si="55"/>
        <v>1</v>
      </c>
    </row>
    <row r="137" ht="18.0" customHeight="1">
      <c r="A137" s="43"/>
      <c r="B137" s="65"/>
      <c r="C137" s="43"/>
      <c r="D137" s="86"/>
      <c r="E137" s="54"/>
      <c r="F137" s="54"/>
      <c r="G137" s="54"/>
      <c r="H137" s="79"/>
      <c r="I137" s="86"/>
      <c r="J137" s="87">
        <f t="shared" ref="J137:L137" si="56">SUM(E133+E135+J133+J135)</f>
        <v>0</v>
      </c>
      <c r="K137" s="87">
        <f t="shared" si="56"/>
        <v>0</v>
      </c>
      <c r="L137" s="87">
        <f t="shared" si="56"/>
        <v>0</v>
      </c>
      <c r="M137" s="43"/>
      <c r="N137" s="54"/>
      <c r="O137" s="54"/>
      <c r="P137" s="54"/>
    </row>
    <row r="138" ht="18.0" customHeight="1">
      <c r="A138" s="46">
        <v>28.0</v>
      </c>
      <c r="B138" s="89" t="str">
        <f>'【大井町】売上'!C31</f>
        <v>土</v>
      </c>
      <c r="C138" s="48" t="s">
        <v>26</v>
      </c>
      <c r="D138" s="85" t="str">
        <f>'管理シフト'!D88</f>
        <v/>
      </c>
      <c r="E138" s="80"/>
      <c r="F138" s="81"/>
      <c r="G138" s="78">
        <f>E138-F138</f>
        <v>0</v>
      </c>
      <c r="H138" s="79"/>
      <c r="I138" s="85" t="str">
        <f>'管理シフト'!G88</f>
        <v/>
      </c>
      <c r="J138" s="80"/>
      <c r="K138" s="81"/>
      <c r="L138" s="78">
        <f>J138-K138</f>
        <v>0</v>
      </c>
      <c r="M138" s="43"/>
      <c r="N138" s="54"/>
      <c r="O138" s="54"/>
      <c r="P138" s="54"/>
    </row>
    <row r="139" ht="18.0" customHeight="1">
      <c r="A139" s="55"/>
      <c r="B139" s="56"/>
      <c r="C139" s="57"/>
      <c r="D139" s="82" t="s">
        <v>27</v>
      </c>
      <c r="E139" s="77"/>
      <c r="F139" s="77"/>
      <c r="G139" s="84">
        <v>0.0</v>
      </c>
      <c r="H139" s="83"/>
      <c r="I139" s="82" t="s">
        <v>27</v>
      </c>
      <c r="J139" s="77"/>
      <c r="K139" s="77"/>
      <c r="L139" s="84"/>
      <c r="M139" s="43"/>
      <c r="N139" s="54"/>
      <c r="O139" s="54"/>
      <c r="P139" s="54"/>
    </row>
    <row r="140" ht="18.0" customHeight="1">
      <c r="A140" s="55"/>
      <c r="B140" s="56"/>
      <c r="C140" s="48" t="s">
        <v>28</v>
      </c>
      <c r="D140" s="85" t="str">
        <f>'管理シフト'!D89</f>
        <v/>
      </c>
      <c r="E140" s="80"/>
      <c r="F140" s="81"/>
      <c r="G140" s="78">
        <f>E140-F140</f>
        <v>0</v>
      </c>
      <c r="H140" s="79"/>
      <c r="I140" s="85" t="str">
        <f>'管理シフト'!G89</f>
        <v/>
      </c>
      <c r="J140" s="80"/>
      <c r="K140" s="81"/>
      <c r="L140" s="78">
        <f>J140-K140</f>
        <v>0</v>
      </c>
      <c r="M140" s="43"/>
      <c r="N140" s="54" t="s">
        <v>13</v>
      </c>
      <c r="O140" s="54" t="s">
        <v>14</v>
      </c>
      <c r="P140" s="54" t="s">
        <v>15</v>
      </c>
    </row>
    <row r="141" ht="18.0" customHeight="1">
      <c r="A141" s="63"/>
      <c r="B141" s="64"/>
      <c r="C141" s="57"/>
      <c r="D141" s="82" t="s">
        <v>27</v>
      </c>
      <c r="E141" s="77"/>
      <c r="F141" s="77"/>
      <c r="G141" s="84"/>
      <c r="H141" s="83"/>
      <c r="I141" s="82" t="s">
        <v>27</v>
      </c>
      <c r="J141" s="77"/>
      <c r="K141" s="77"/>
      <c r="L141" s="84"/>
      <c r="M141" s="43"/>
      <c r="N141" s="54">
        <f t="shared" ref="N141:P141" si="57">E139+E141+J139+J141</f>
        <v>0</v>
      </c>
      <c r="O141" s="54">
        <f t="shared" si="57"/>
        <v>0</v>
      </c>
      <c r="P141" s="54">
        <f t="shared" si="57"/>
        <v>0</v>
      </c>
    </row>
    <row r="142" ht="18.0" customHeight="1">
      <c r="A142" s="43"/>
      <c r="B142" s="65"/>
      <c r="C142" s="43"/>
      <c r="D142" s="86"/>
      <c r="E142" s="54"/>
      <c r="F142" s="54"/>
      <c r="G142" s="54"/>
      <c r="H142" s="79"/>
      <c r="I142" s="86"/>
      <c r="J142" s="87">
        <f t="shared" ref="J142:L142" si="58">SUM(E138+E140+J138+J140)</f>
        <v>0</v>
      </c>
      <c r="K142" s="87">
        <f t="shared" si="58"/>
        <v>0</v>
      </c>
      <c r="L142" s="87">
        <f t="shared" si="58"/>
        <v>0</v>
      </c>
      <c r="M142" s="43"/>
      <c r="N142" s="54"/>
      <c r="O142" s="54"/>
      <c r="P142" s="54"/>
    </row>
    <row r="143" ht="18.0" customHeight="1">
      <c r="A143" s="46">
        <v>29.0</v>
      </c>
      <c r="B143" s="89" t="str">
        <f>'【大井町】売上'!C36</f>
        <v/>
      </c>
      <c r="C143" s="48" t="s">
        <v>26</v>
      </c>
      <c r="D143" s="85" t="str">
        <f>'管理シフト'!D91</f>
        <v/>
      </c>
      <c r="E143" s="80"/>
      <c r="F143" s="81"/>
      <c r="G143" s="78">
        <f>E143-F143</f>
        <v>0</v>
      </c>
      <c r="H143" s="79"/>
      <c r="I143" s="85" t="str">
        <f>'管理シフト'!G91</f>
        <v/>
      </c>
      <c r="J143" s="80"/>
      <c r="K143" s="81"/>
      <c r="L143" s="78">
        <f>J143-K143</f>
        <v>0</v>
      </c>
      <c r="N143" s="54"/>
      <c r="O143" s="54"/>
      <c r="P143" s="54"/>
    </row>
    <row r="144" ht="18.0" customHeight="1">
      <c r="A144" s="55"/>
      <c r="B144" s="56"/>
      <c r="C144" s="57"/>
      <c r="D144" s="82" t="s">
        <v>27</v>
      </c>
      <c r="E144" s="77"/>
      <c r="F144" s="77"/>
      <c r="G144" s="84"/>
      <c r="H144" s="83"/>
      <c r="I144" s="82" t="s">
        <v>27</v>
      </c>
      <c r="J144" s="77"/>
      <c r="K144" s="77"/>
      <c r="L144" s="84"/>
      <c r="N144" s="54"/>
      <c r="O144" s="54"/>
      <c r="P144" s="54"/>
    </row>
    <row r="145" ht="18.0" customHeight="1">
      <c r="A145" s="55"/>
      <c r="B145" s="56"/>
      <c r="C145" s="48" t="s">
        <v>28</v>
      </c>
      <c r="D145" s="85" t="str">
        <f>'管理シフト'!D92</f>
        <v/>
      </c>
      <c r="E145" s="80"/>
      <c r="F145" s="81"/>
      <c r="G145" s="78">
        <f>E145-F145</f>
        <v>0</v>
      </c>
      <c r="H145" s="79"/>
      <c r="I145" s="85" t="str">
        <f>'管理シフト'!G92</f>
        <v/>
      </c>
      <c r="J145" s="80"/>
      <c r="K145" s="81"/>
      <c r="L145" s="78">
        <f>J145-K145</f>
        <v>0</v>
      </c>
      <c r="N145" s="54" t="s">
        <v>13</v>
      </c>
      <c r="O145" s="54" t="s">
        <v>14</v>
      </c>
      <c r="P145" s="54" t="s">
        <v>15</v>
      </c>
    </row>
    <row r="146" ht="18.0" customHeight="1">
      <c r="A146" s="63"/>
      <c r="B146" s="64"/>
      <c r="C146" s="57"/>
      <c r="D146" s="82" t="s">
        <v>27</v>
      </c>
      <c r="E146" s="77"/>
      <c r="F146" s="77"/>
      <c r="G146" s="84"/>
      <c r="H146" s="83"/>
      <c r="I146" s="82" t="s">
        <v>27</v>
      </c>
      <c r="J146" s="77"/>
      <c r="K146" s="77"/>
      <c r="L146" s="84"/>
      <c r="N146" s="54">
        <f t="shared" ref="N146:P146" si="59">E144+E146+J144+J146</f>
        <v>0</v>
      </c>
      <c r="O146" s="54">
        <f t="shared" si="59"/>
        <v>0</v>
      </c>
      <c r="P146" s="54">
        <f t="shared" si="59"/>
        <v>0</v>
      </c>
    </row>
    <row r="147" ht="18.0" customHeight="1">
      <c r="A147" s="43"/>
      <c r="B147" s="65"/>
      <c r="C147" s="43"/>
      <c r="D147" s="85" t="str">
        <f>'管理シフト'!D137</f>
        <v/>
      </c>
      <c r="E147" s="54"/>
      <c r="F147" s="54"/>
      <c r="G147" s="54"/>
      <c r="H147" s="79"/>
      <c r="I147" s="85" t="str">
        <f>'管理シフト'!137</f>
        <v>#ERROR!</v>
      </c>
      <c r="J147" s="87">
        <f t="shared" ref="J147:L147" si="60">SUM(E143+E145+J143+J145)</f>
        <v>0</v>
      </c>
      <c r="K147" s="87">
        <f t="shared" si="60"/>
        <v>0</v>
      </c>
      <c r="L147" s="87">
        <f t="shared" si="60"/>
        <v>0</v>
      </c>
      <c r="N147" s="54"/>
      <c r="O147" s="54"/>
      <c r="P147" s="54"/>
    </row>
    <row r="148" ht="18.0" customHeight="1">
      <c r="A148" s="46">
        <v>30.0</v>
      </c>
      <c r="B148" s="89" t="str">
        <f>'【大井町】売上'!C33</f>
        <v/>
      </c>
      <c r="C148" s="48" t="s">
        <v>26</v>
      </c>
      <c r="D148" s="85" t="str">
        <f>'管理シフト'!D94</f>
        <v/>
      </c>
      <c r="E148" s="80"/>
      <c r="F148" s="81"/>
      <c r="G148" s="78">
        <f>E148-F148</f>
        <v>0</v>
      </c>
      <c r="H148" s="79"/>
      <c r="I148" s="85" t="str">
        <f>'管理シフト'!G94</f>
        <v/>
      </c>
      <c r="J148" s="80"/>
      <c r="K148" s="81"/>
      <c r="L148" s="78">
        <f>J148-K148</f>
        <v>0</v>
      </c>
      <c r="N148" s="54"/>
      <c r="O148" s="54"/>
      <c r="P148" s="54"/>
    </row>
    <row r="149" ht="18.0" customHeight="1">
      <c r="A149" s="55"/>
      <c r="B149" s="56"/>
      <c r="C149" s="57"/>
      <c r="D149" s="82" t="s">
        <v>27</v>
      </c>
      <c r="E149" s="77"/>
      <c r="F149" s="77"/>
      <c r="G149" s="84">
        <v>0.0</v>
      </c>
      <c r="H149" s="83"/>
      <c r="I149" s="82" t="s">
        <v>27</v>
      </c>
      <c r="J149" s="77"/>
      <c r="K149" s="77"/>
      <c r="L149" s="84"/>
      <c r="N149" s="54"/>
      <c r="O149" s="54"/>
      <c r="P149" s="54"/>
    </row>
    <row r="150" ht="18.0" customHeight="1">
      <c r="A150" s="55"/>
      <c r="B150" s="56"/>
      <c r="C150" s="48" t="s">
        <v>28</v>
      </c>
      <c r="D150" s="85" t="str">
        <f>'管理シフト'!D95</f>
        <v/>
      </c>
      <c r="E150" s="80"/>
      <c r="F150" s="81"/>
      <c r="G150" s="78">
        <f>E150-F150</f>
        <v>0</v>
      </c>
      <c r="H150" s="79"/>
      <c r="I150" s="85" t="str">
        <f>'管理シフト'!G95</f>
        <v/>
      </c>
      <c r="J150" s="80"/>
      <c r="K150" s="81"/>
      <c r="L150" s="78">
        <f>J150-K150</f>
        <v>0</v>
      </c>
      <c r="N150" s="54" t="s">
        <v>13</v>
      </c>
      <c r="O150" s="54" t="s">
        <v>14</v>
      </c>
      <c r="P150" s="54" t="s">
        <v>15</v>
      </c>
    </row>
    <row r="151" ht="18.0" customHeight="1">
      <c r="A151" s="63"/>
      <c r="B151" s="64"/>
      <c r="C151" s="57"/>
      <c r="D151" s="82" t="s">
        <v>27</v>
      </c>
      <c r="E151" s="77"/>
      <c r="F151" s="77"/>
      <c r="G151" s="84">
        <v>0.0</v>
      </c>
      <c r="H151" s="83"/>
      <c r="I151" s="82" t="s">
        <v>27</v>
      </c>
      <c r="J151" s="77"/>
      <c r="K151" s="77"/>
      <c r="L151" s="84"/>
      <c r="N151" s="54">
        <f t="shared" ref="N151:P151" si="61">E149+E151+J149+J151</f>
        <v>0</v>
      </c>
      <c r="O151" s="54">
        <f t="shared" si="61"/>
        <v>0</v>
      </c>
      <c r="P151" s="54">
        <f t="shared" si="61"/>
        <v>0</v>
      </c>
    </row>
    <row r="152" ht="18.0" customHeight="1">
      <c r="A152" s="43"/>
      <c r="B152" s="65"/>
      <c r="C152" s="43"/>
      <c r="D152" s="86"/>
      <c r="E152" s="54"/>
      <c r="F152" s="54"/>
      <c r="G152" s="54"/>
      <c r="H152" s="54"/>
      <c r="I152" s="86"/>
      <c r="J152" s="87">
        <f t="shared" ref="J152:L152" si="62">SUM(E148+E150+J148+J150)</f>
        <v>0</v>
      </c>
      <c r="K152" s="87">
        <f t="shared" si="62"/>
        <v>0</v>
      </c>
      <c r="L152" s="87">
        <f t="shared" si="62"/>
        <v>0</v>
      </c>
      <c r="N152" s="54"/>
      <c r="O152" s="54"/>
      <c r="P152" s="54"/>
    </row>
    <row r="153" ht="18.0" customHeight="1">
      <c r="A153" s="90">
        <v>31.0</v>
      </c>
      <c r="B153" s="89" t="str">
        <f>'【大井町】売上'!C34</f>
        <v/>
      </c>
      <c r="C153" s="48" t="s">
        <v>26</v>
      </c>
      <c r="D153" s="85" t="str">
        <f>'管理シフト'!D97</f>
        <v/>
      </c>
      <c r="E153" s="80"/>
      <c r="F153" s="81"/>
      <c r="G153" s="78">
        <f>E153-F153</f>
        <v>0</v>
      </c>
      <c r="H153" s="54"/>
      <c r="I153" s="85" t="str">
        <f>'管理シフト'!G97</f>
        <v/>
      </c>
      <c r="J153" s="80"/>
      <c r="K153" s="81"/>
      <c r="L153" s="78">
        <f>J153-K153</f>
        <v>0</v>
      </c>
      <c r="N153" s="54"/>
      <c r="O153" s="54"/>
      <c r="P153" s="54"/>
    </row>
    <row r="154" ht="18.0" customHeight="1">
      <c r="A154" s="55"/>
      <c r="B154" s="56"/>
      <c r="C154" s="57"/>
      <c r="D154" s="82" t="s">
        <v>27</v>
      </c>
      <c r="E154" s="77"/>
      <c r="F154" s="77"/>
      <c r="G154" s="84">
        <v>1.0</v>
      </c>
      <c r="H154" s="83"/>
      <c r="I154" s="82" t="s">
        <v>27</v>
      </c>
      <c r="J154" s="77"/>
      <c r="K154" s="77"/>
      <c r="L154" s="84"/>
      <c r="N154" s="54"/>
      <c r="O154" s="54"/>
      <c r="P154" s="54"/>
    </row>
    <row r="155" ht="18.0" customHeight="1">
      <c r="A155" s="55"/>
      <c r="B155" s="56"/>
      <c r="C155" s="48" t="s">
        <v>28</v>
      </c>
      <c r="D155" s="85" t="str">
        <f>'管理シフト'!D98</f>
        <v/>
      </c>
      <c r="E155" s="80"/>
      <c r="F155" s="81"/>
      <c r="G155" s="78">
        <f>E155-F155</f>
        <v>0</v>
      </c>
      <c r="H155" s="54"/>
      <c r="I155" s="85" t="str">
        <f>'管理シフト'!G98</f>
        <v/>
      </c>
      <c r="J155" s="80"/>
      <c r="K155" s="81"/>
      <c r="L155" s="78">
        <f>J155-K155</f>
        <v>0</v>
      </c>
      <c r="N155" s="54" t="s">
        <v>13</v>
      </c>
      <c r="O155" s="54" t="s">
        <v>14</v>
      </c>
      <c r="P155" s="54" t="s">
        <v>15</v>
      </c>
    </row>
    <row r="156" ht="18.0" customHeight="1">
      <c r="A156" s="63"/>
      <c r="B156" s="64"/>
      <c r="C156" s="57"/>
      <c r="D156" s="82" t="s">
        <v>27</v>
      </c>
      <c r="E156" s="77"/>
      <c r="F156" s="77"/>
      <c r="G156" s="84"/>
      <c r="H156" s="83"/>
      <c r="I156" s="82" t="s">
        <v>27</v>
      </c>
      <c r="J156" s="77"/>
      <c r="K156" s="77"/>
      <c r="L156" s="84"/>
      <c r="N156" s="54">
        <f t="shared" ref="N156:P156" si="63">E154+E156+J154+J156</f>
        <v>0</v>
      </c>
      <c r="O156" s="54">
        <f t="shared" si="63"/>
        <v>0</v>
      </c>
      <c r="P156" s="54">
        <f t="shared" si="63"/>
        <v>1</v>
      </c>
    </row>
    <row r="157" ht="18.0" customHeight="1">
      <c r="B157" s="43"/>
      <c r="C157" s="43"/>
      <c r="D157" s="54"/>
      <c r="E157" s="54"/>
      <c r="F157" s="54"/>
      <c r="G157" s="54"/>
      <c r="H157" s="54"/>
      <c r="I157" s="91"/>
      <c r="J157" s="87">
        <f t="shared" ref="J157:L157" si="64">SUM(E153+E155+J153+J155)</f>
        <v>0</v>
      </c>
      <c r="K157" s="87">
        <f t="shared" si="64"/>
        <v>0</v>
      </c>
      <c r="L157" s="87">
        <f t="shared" si="64"/>
        <v>0</v>
      </c>
      <c r="N157" s="54"/>
      <c r="O157" s="54"/>
      <c r="P157" s="54"/>
    </row>
    <row r="158" ht="18.0" customHeight="1">
      <c r="B158" s="43"/>
      <c r="C158" s="43"/>
      <c r="D158" s="54"/>
      <c r="E158" s="54"/>
      <c r="F158" s="54"/>
      <c r="G158" s="54"/>
      <c r="H158" s="54"/>
      <c r="I158" s="54"/>
      <c r="J158" s="54"/>
      <c r="K158" s="54"/>
      <c r="L158" s="54"/>
      <c r="N158" s="54"/>
      <c r="O158" s="54"/>
      <c r="P158" s="54"/>
    </row>
    <row r="159" ht="18.0" customHeight="1">
      <c r="B159" s="43"/>
      <c r="C159" s="43"/>
      <c r="D159" s="54"/>
      <c r="E159" s="54"/>
      <c r="F159" s="54"/>
      <c r="G159" s="54"/>
      <c r="H159" s="54"/>
      <c r="I159" s="54"/>
      <c r="J159" s="54"/>
      <c r="K159" s="54"/>
      <c r="L159" s="54"/>
      <c r="N159" s="54"/>
      <c r="O159" s="54"/>
      <c r="P159" s="54"/>
    </row>
    <row r="160" ht="18.0" customHeight="1">
      <c r="B160" s="43"/>
      <c r="C160" s="43"/>
      <c r="D160" s="54"/>
      <c r="E160" s="54"/>
      <c r="F160" s="54"/>
      <c r="G160" s="54"/>
      <c r="H160" s="54"/>
      <c r="I160" s="54"/>
      <c r="J160" s="54"/>
      <c r="K160" s="54"/>
      <c r="L160" s="54"/>
      <c r="N160" s="54"/>
      <c r="O160" s="54"/>
      <c r="P160" s="54"/>
    </row>
    <row r="161" ht="18.0" customHeight="1">
      <c r="B161" s="43"/>
      <c r="C161" s="43"/>
      <c r="D161" s="54"/>
      <c r="E161" s="54"/>
      <c r="F161" s="54"/>
      <c r="G161" s="54"/>
      <c r="H161" s="54"/>
      <c r="I161" s="54"/>
      <c r="J161" s="54"/>
      <c r="K161" s="54"/>
      <c r="L161" s="54"/>
      <c r="N161" s="54"/>
      <c r="O161" s="54"/>
      <c r="P161" s="54"/>
    </row>
    <row r="162" ht="18.0" customHeight="1">
      <c r="B162" s="43"/>
      <c r="C162" s="43"/>
      <c r="D162" s="54"/>
      <c r="E162" s="54"/>
      <c r="F162" s="54"/>
      <c r="G162" s="54"/>
      <c r="H162" s="54"/>
      <c r="I162" s="54"/>
      <c r="J162" s="54"/>
      <c r="K162" s="54"/>
      <c r="L162" s="54"/>
    </row>
    <row r="163" ht="18.0" customHeight="1">
      <c r="B163" s="43"/>
      <c r="C163" s="43"/>
      <c r="D163" s="54"/>
      <c r="E163" s="54"/>
      <c r="F163" s="54"/>
      <c r="G163" s="54"/>
      <c r="H163" s="54"/>
      <c r="I163" s="54"/>
      <c r="J163" s="54"/>
      <c r="K163" s="54"/>
      <c r="L163" s="54"/>
    </row>
    <row r="164" ht="18.0" customHeight="1">
      <c r="D164" s="92"/>
      <c r="E164" s="92"/>
      <c r="F164" s="92"/>
      <c r="G164" s="92"/>
      <c r="H164" s="92"/>
      <c r="I164" s="92"/>
      <c r="J164" s="92"/>
      <c r="K164" s="92"/>
      <c r="L164" s="92"/>
    </row>
    <row r="165" ht="18.0" customHeight="1">
      <c r="D165" s="92"/>
      <c r="E165" s="92"/>
      <c r="F165" s="92"/>
      <c r="G165" s="92"/>
      <c r="H165" s="92"/>
      <c r="I165" s="92"/>
      <c r="J165" s="92"/>
      <c r="K165" s="92"/>
      <c r="L165" s="92"/>
    </row>
    <row r="166" ht="18.0" customHeight="1">
      <c r="D166" s="92"/>
      <c r="E166" s="92"/>
      <c r="F166" s="92"/>
      <c r="G166" s="92"/>
      <c r="H166" s="92"/>
      <c r="I166" s="92"/>
      <c r="J166" s="92"/>
      <c r="K166" s="92"/>
      <c r="L166" s="92"/>
    </row>
    <row r="167" ht="18.0" customHeight="1">
      <c r="D167" s="92"/>
      <c r="E167" s="92"/>
      <c r="F167" s="92"/>
      <c r="G167" s="92"/>
      <c r="H167" s="92"/>
      <c r="I167" s="92"/>
      <c r="J167" s="92"/>
      <c r="K167" s="92"/>
      <c r="L167" s="92"/>
    </row>
    <row r="168" ht="18.0" customHeight="1">
      <c r="D168" s="92"/>
      <c r="E168" s="92"/>
      <c r="F168" s="92"/>
      <c r="G168" s="92"/>
      <c r="H168" s="92"/>
      <c r="I168" s="92"/>
      <c r="J168" s="92"/>
      <c r="K168" s="92"/>
      <c r="L168" s="92"/>
    </row>
    <row r="169" ht="18.0" customHeight="1">
      <c r="D169" s="92"/>
      <c r="E169" s="92"/>
      <c r="F169" s="92"/>
      <c r="G169" s="92"/>
      <c r="H169" s="92"/>
      <c r="I169" s="92"/>
      <c r="J169" s="92"/>
      <c r="K169" s="92"/>
      <c r="L169" s="92"/>
    </row>
    <row r="170" ht="18.0" customHeight="1">
      <c r="D170" s="92"/>
      <c r="E170" s="92"/>
      <c r="F170" s="92"/>
      <c r="G170" s="92"/>
      <c r="H170" s="92"/>
      <c r="I170" s="92"/>
      <c r="J170" s="92"/>
      <c r="K170" s="92"/>
      <c r="L170" s="92"/>
    </row>
    <row r="171" ht="18.0" customHeight="1">
      <c r="D171" s="92"/>
      <c r="E171" s="92"/>
      <c r="F171" s="92"/>
      <c r="G171" s="92"/>
      <c r="H171" s="92"/>
      <c r="I171" s="92"/>
      <c r="J171" s="92"/>
      <c r="K171" s="92"/>
      <c r="L171" s="92"/>
    </row>
    <row r="172" ht="18.0" customHeight="1">
      <c r="D172" s="92"/>
      <c r="E172" s="92"/>
      <c r="F172" s="92"/>
      <c r="G172" s="92"/>
      <c r="H172" s="92"/>
      <c r="I172" s="92"/>
      <c r="J172" s="92"/>
      <c r="K172" s="92"/>
      <c r="L172" s="92"/>
    </row>
    <row r="173" ht="18.0" customHeight="1">
      <c r="G173" s="92"/>
      <c r="H173" s="92"/>
      <c r="I173" s="92"/>
      <c r="J173" s="92"/>
      <c r="K173" s="92"/>
      <c r="L173" s="92"/>
    </row>
    <row r="174" ht="18.0" customHeight="1">
      <c r="G174" s="92"/>
      <c r="H174" s="92"/>
      <c r="I174" s="92"/>
      <c r="J174" s="92"/>
      <c r="K174" s="92"/>
      <c r="L174" s="92"/>
    </row>
    <row r="175" ht="18.0" customHeight="1">
      <c r="G175" s="92"/>
      <c r="H175" s="92"/>
      <c r="I175" s="92"/>
      <c r="J175" s="92"/>
      <c r="K175" s="92"/>
      <c r="L175" s="92"/>
    </row>
    <row r="176" ht="18.0" customHeight="1">
      <c r="G176" s="92"/>
      <c r="H176" s="92"/>
      <c r="I176" s="92"/>
      <c r="J176" s="92"/>
      <c r="K176" s="92"/>
      <c r="L176" s="92"/>
    </row>
    <row r="177" ht="18.0" customHeight="1">
      <c r="G177" s="92"/>
      <c r="H177" s="92"/>
      <c r="I177" s="92"/>
      <c r="J177" s="92"/>
      <c r="K177" s="92"/>
      <c r="L177" s="92"/>
    </row>
    <row r="178" ht="18.0" customHeight="1">
      <c r="G178" s="92"/>
      <c r="H178" s="92"/>
      <c r="I178" s="92"/>
      <c r="J178" s="92"/>
      <c r="K178" s="92"/>
      <c r="L178" s="92"/>
    </row>
    <row r="179" ht="18.0" customHeight="1">
      <c r="G179" s="92"/>
      <c r="H179" s="92"/>
      <c r="I179" s="92"/>
      <c r="J179" s="92"/>
      <c r="K179" s="92"/>
      <c r="L179" s="92"/>
    </row>
    <row r="180" ht="18.0" customHeight="1">
      <c r="G180" s="92"/>
      <c r="H180" s="92"/>
      <c r="I180" s="92"/>
      <c r="J180" s="92"/>
      <c r="K180" s="92"/>
      <c r="L180" s="92"/>
    </row>
    <row r="181" ht="18.0" customHeight="1">
      <c r="G181" s="92"/>
      <c r="H181" s="92"/>
      <c r="I181" s="92"/>
      <c r="J181" s="92"/>
      <c r="K181" s="92"/>
      <c r="L181" s="92"/>
    </row>
    <row r="182" ht="18.0" customHeight="1">
      <c r="G182" s="92"/>
      <c r="H182" s="92"/>
      <c r="I182" s="92"/>
      <c r="J182" s="92"/>
      <c r="K182" s="92"/>
      <c r="L182" s="92"/>
    </row>
    <row r="183" ht="18.0" customHeight="1">
      <c r="G183" s="92"/>
      <c r="H183" s="92"/>
      <c r="I183" s="92"/>
      <c r="J183" s="92"/>
      <c r="K183" s="92"/>
      <c r="L183" s="92"/>
    </row>
    <row r="184" ht="18.0" customHeight="1">
      <c r="G184" s="92"/>
      <c r="H184" s="92"/>
      <c r="I184" s="92"/>
      <c r="J184" s="92"/>
      <c r="K184" s="92"/>
      <c r="L184" s="92"/>
    </row>
    <row r="185" ht="18.0" customHeight="1">
      <c r="G185" s="92"/>
      <c r="H185" s="92"/>
      <c r="I185" s="92"/>
      <c r="J185" s="92"/>
      <c r="K185" s="92"/>
      <c r="L185" s="92"/>
    </row>
    <row r="186" ht="18.0" customHeight="1">
      <c r="G186" s="92"/>
      <c r="H186" s="92"/>
      <c r="I186" s="92"/>
      <c r="J186" s="92"/>
      <c r="K186" s="92"/>
      <c r="L186" s="92"/>
    </row>
    <row r="187" ht="18.0" customHeight="1">
      <c r="G187" s="92"/>
      <c r="H187" s="92"/>
      <c r="I187" s="92"/>
      <c r="J187" s="92"/>
      <c r="K187" s="92"/>
      <c r="L187" s="92"/>
    </row>
    <row r="188" ht="18.0" customHeight="1">
      <c r="G188" s="92"/>
      <c r="H188" s="92"/>
      <c r="I188" s="92"/>
      <c r="J188" s="92"/>
      <c r="K188" s="92"/>
      <c r="L188" s="92"/>
    </row>
    <row r="189" ht="18.0" customHeight="1">
      <c r="G189" s="92"/>
      <c r="H189" s="92"/>
      <c r="I189" s="92"/>
      <c r="J189" s="92"/>
      <c r="K189" s="92"/>
      <c r="L189" s="92"/>
    </row>
    <row r="190" ht="18.0" customHeight="1">
      <c r="G190" s="92"/>
      <c r="H190" s="92"/>
      <c r="I190" s="92"/>
      <c r="J190" s="92"/>
      <c r="K190" s="92"/>
      <c r="L190" s="92"/>
    </row>
    <row r="191" ht="18.0" customHeight="1">
      <c r="G191" s="92"/>
      <c r="H191" s="92"/>
      <c r="I191" s="92"/>
      <c r="J191" s="92"/>
      <c r="K191" s="92"/>
      <c r="L191" s="92"/>
    </row>
    <row r="192" ht="18.0" customHeight="1">
      <c r="G192" s="92"/>
      <c r="H192" s="92"/>
      <c r="I192" s="92"/>
      <c r="J192" s="92"/>
      <c r="K192" s="92"/>
      <c r="L192" s="92"/>
    </row>
    <row r="193" ht="18.0" customHeight="1">
      <c r="G193" s="92"/>
      <c r="H193" s="92"/>
      <c r="I193" s="92"/>
      <c r="J193" s="92"/>
      <c r="K193" s="92"/>
      <c r="L193" s="92"/>
    </row>
    <row r="194" ht="18.0" customHeight="1">
      <c r="G194" s="92"/>
      <c r="H194" s="92"/>
      <c r="I194" s="92"/>
      <c r="J194" s="92"/>
      <c r="K194" s="92"/>
      <c r="L194" s="92"/>
    </row>
    <row r="195" ht="18.0" customHeight="1">
      <c r="G195" s="92"/>
      <c r="H195" s="92"/>
      <c r="I195" s="92"/>
      <c r="J195" s="92"/>
      <c r="K195" s="92"/>
      <c r="L195" s="92"/>
    </row>
    <row r="196" ht="18.0" customHeight="1">
      <c r="G196" s="92"/>
      <c r="H196" s="92"/>
      <c r="I196" s="92"/>
      <c r="J196" s="92"/>
      <c r="K196" s="92"/>
      <c r="L196" s="92"/>
    </row>
    <row r="197" ht="18.0" customHeight="1">
      <c r="G197" s="92"/>
      <c r="H197" s="92"/>
      <c r="I197" s="92"/>
      <c r="J197" s="92"/>
      <c r="K197" s="92"/>
      <c r="L197" s="92"/>
    </row>
    <row r="198" ht="18.0" customHeight="1">
      <c r="G198" s="92"/>
      <c r="H198" s="92"/>
      <c r="I198" s="92"/>
      <c r="J198" s="92"/>
      <c r="K198" s="92"/>
      <c r="L198" s="92"/>
    </row>
    <row r="199" ht="18.0" customHeight="1">
      <c r="G199" s="92"/>
      <c r="H199" s="92"/>
      <c r="I199" s="92"/>
      <c r="J199" s="92"/>
      <c r="K199" s="92"/>
      <c r="L199" s="92"/>
    </row>
    <row r="200" ht="18.0" customHeight="1">
      <c r="G200" s="92"/>
      <c r="H200" s="92"/>
      <c r="I200" s="92"/>
      <c r="J200" s="92"/>
      <c r="K200" s="92"/>
      <c r="L200" s="92"/>
    </row>
    <row r="201" ht="18.0" customHeight="1">
      <c r="G201" s="92"/>
      <c r="H201" s="92"/>
      <c r="I201" s="92"/>
      <c r="J201" s="92"/>
      <c r="K201" s="92"/>
      <c r="L201" s="92"/>
    </row>
    <row r="202" ht="18.0" customHeight="1">
      <c r="G202" s="92"/>
      <c r="H202" s="92"/>
      <c r="I202" s="92"/>
      <c r="J202" s="92"/>
      <c r="K202" s="92"/>
      <c r="L202" s="92"/>
    </row>
    <row r="203" ht="18.0" customHeight="1">
      <c r="G203" s="92"/>
      <c r="H203" s="92"/>
      <c r="I203" s="92"/>
      <c r="J203" s="92"/>
      <c r="K203" s="92"/>
      <c r="L203" s="92"/>
    </row>
    <row r="204" ht="18.0" customHeight="1">
      <c r="G204" s="92"/>
      <c r="H204" s="92"/>
      <c r="I204" s="92"/>
      <c r="J204" s="92"/>
      <c r="K204" s="92"/>
      <c r="L204" s="92"/>
    </row>
    <row r="205" ht="18.0" customHeight="1">
      <c r="G205" s="92"/>
      <c r="H205" s="92"/>
      <c r="I205" s="92"/>
      <c r="J205" s="92"/>
      <c r="K205" s="92"/>
      <c r="L205" s="92"/>
    </row>
    <row r="206" ht="18.0" customHeight="1">
      <c r="G206" s="92"/>
      <c r="H206" s="92"/>
      <c r="I206" s="92"/>
      <c r="J206" s="92"/>
      <c r="K206" s="92"/>
      <c r="L206" s="92"/>
    </row>
    <row r="207" ht="18.0" customHeight="1">
      <c r="G207" s="92"/>
      <c r="H207" s="92"/>
      <c r="I207" s="92"/>
      <c r="J207" s="92"/>
      <c r="K207" s="92"/>
      <c r="L207" s="92"/>
    </row>
    <row r="208" ht="18.0" customHeight="1">
      <c r="G208" s="92"/>
      <c r="H208" s="92"/>
      <c r="I208" s="92"/>
      <c r="J208" s="92"/>
      <c r="K208" s="92"/>
      <c r="L208" s="92"/>
    </row>
    <row r="209" ht="18.0" customHeight="1">
      <c r="G209" s="92"/>
      <c r="H209" s="92"/>
      <c r="I209" s="92"/>
      <c r="J209" s="92"/>
      <c r="K209" s="92"/>
      <c r="L209" s="92"/>
    </row>
    <row r="210" ht="18.0" customHeight="1">
      <c r="G210" s="92"/>
      <c r="H210" s="92"/>
      <c r="I210" s="92"/>
      <c r="J210" s="92"/>
      <c r="K210" s="92"/>
      <c r="L210" s="92"/>
    </row>
    <row r="211" ht="18.0" customHeight="1">
      <c r="G211" s="92"/>
      <c r="H211" s="92"/>
      <c r="I211" s="92"/>
      <c r="J211" s="92"/>
      <c r="K211" s="92"/>
      <c r="L211" s="92"/>
    </row>
    <row r="212" ht="18.0" customHeight="1">
      <c r="G212" s="92"/>
      <c r="H212" s="92"/>
      <c r="I212" s="92"/>
      <c r="J212" s="92"/>
      <c r="K212" s="92"/>
      <c r="L212" s="92"/>
    </row>
    <row r="213" ht="18.0" customHeight="1">
      <c r="G213" s="92"/>
      <c r="H213" s="92"/>
      <c r="I213" s="92"/>
      <c r="J213" s="92"/>
      <c r="K213" s="92"/>
      <c r="L213" s="92"/>
    </row>
    <row r="214" ht="18.0" customHeight="1">
      <c r="G214" s="92"/>
      <c r="H214" s="92"/>
      <c r="I214" s="92"/>
      <c r="J214" s="92"/>
      <c r="K214" s="92"/>
      <c r="L214" s="92"/>
    </row>
    <row r="215" ht="18.0" customHeight="1">
      <c r="G215" s="92"/>
      <c r="H215" s="92"/>
      <c r="I215" s="92"/>
      <c r="J215" s="92"/>
      <c r="K215" s="92"/>
      <c r="L215" s="92"/>
    </row>
    <row r="216" ht="18.0" customHeight="1">
      <c r="G216" s="92"/>
      <c r="H216" s="92"/>
      <c r="I216" s="92"/>
      <c r="J216" s="92"/>
      <c r="K216" s="92"/>
      <c r="L216" s="92"/>
    </row>
    <row r="217" ht="18.0" customHeight="1">
      <c r="G217" s="92"/>
      <c r="H217" s="92"/>
      <c r="I217" s="92"/>
      <c r="J217" s="92"/>
      <c r="K217" s="92"/>
      <c r="L217" s="92"/>
    </row>
    <row r="218" ht="18.0" customHeight="1">
      <c r="G218" s="92"/>
      <c r="H218" s="92"/>
      <c r="I218" s="92"/>
      <c r="J218" s="92"/>
      <c r="K218" s="92"/>
      <c r="L218" s="92"/>
    </row>
    <row r="219" ht="18.0" customHeight="1">
      <c r="G219" s="92"/>
      <c r="H219" s="92"/>
      <c r="I219" s="92"/>
      <c r="J219" s="92"/>
      <c r="K219" s="92"/>
      <c r="L219" s="92"/>
    </row>
    <row r="220" ht="18.0" customHeight="1">
      <c r="G220" s="92"/>
      <c r="H220" s="92"/>
      <c r="I220" s="92"/>
      <c r="J220" s="92"/>
      <c r="K220" s="92"/>
      <c r="L220" s="92"/>
    </row>
    <row r="221" ht="18.0" customHeight="1">
      <c r="G221" s="92"/>
      <c r="H221" s="92"/>
      <c r="I221" s="92"/>
      <c r="J221" s="92"/>
      <c r="K221" s="92"/>
      <c r="L221" s="92"/>
    </row>
    <row r="222" ht="18.0" customHeight="1">
      <c r="G222" s="92"/>
      <c r="H222" s="92"/>
      <c r="I222" s="92"/>
      <c r="J222" s="92"/>
      <c r="K222" s="92"/>
      <c r="L222" s="92"/>
    </row>
    <row r="223" ht="18.0" customHeight="1">
      <c r="G223" s="92"/>
      <c r="H223" s="92"/>
      <c r="I223" s="92"/>
      <c r="J223" s="92"/>
      <c r="K223" s="92"/>
      <c r="L223" s="92"/>
    </row>
    <row r="224" ht="18.0" customHeight="1">
      <c r="G224" s="92"/>
      <c r="H224" s="92"/>
      <c r="I224" s="92"/>
      <c r="J224" s="92"/>
      <c r="K224" s="92"/>
      <c r="L224" s="92"/>
    </row>
    <row r="225" ht="18.0" customHeight="1">
      <c r="G225" s="92"/>
      <c r="H225" s="92"/>
      <c r="I225" s="92"/>
      <c r="J225" s="92"/>
      <c r="K225" s="92"/>
      <c r="L225" s="92"/>
    </row>
    <row r="226" ht="18.0" customHeight="1">
      <c r="G226" s="92"/>
      <c r="H226" s="92"/>
      <c r="I226" s="92"/>
      <c r="J226" s="92"/>
      <c r="K226" s="92"/>
      <c r="L226" s="92"/>
    </row>
    <row r="227" ht="18.0" customHeight="1">
      <c r="G227" s="92"/>
      <c r="H227" s="92"/>
      <c r="I227" s="92"/>
      <c r="J227" s="92"/>
      <c r="K227" s="92"/>
      <c r="L227" s="92"/>
    </row>
    <row r="228" ht="18.0" customHeight="1">
      <c r="G228" s="92"/>
      <c r="H228" s="92"/>
      <c r="I228" s="92"/>
      <c r="J228" s="92"/>
      <c r="K228" s="92"/>
      <c r="L228" s="92"/>
    </row>
    <row r="229" ht="18.0" customHeight="1">
      <c r="G229" s="92"/>
      <c r="H229" s="92"/>
      <c r="I229" s="92"/>
      <c r="J229" s="92"/>
      <c r="K229" s="92"/>
      <c r="L229" s="92"/>
    </row>
    <row r="230" ht="18.0" customHeight="1">
      <c r="G230" s="92"/>
      <c r="H230" s="92"/>
      <c r="I230" s="92"/>
      <c r="J230" s="92"/>
      <c r="K230" s="92"/>
      <c r="L230" s="92"/>
    </row>
    <row r="231" ht="18.0" customHeight="1">
      <c r="G231" s="92"/>
      <c r="H231" s="92"/>
      <c r="I231" s="92"/>
      <c r="J231" s="92"/>
      <c r="K231" s="92"/>
      <c r="L231" s="92"/>
    </row>
    <row r="232" ht="18.0" customHeight="1">
      <c r="G232" s="92"/>
      <c r="H232" s="92"/>
      <c r="I232" s="92"/>
      <c r="J232" s="92"/>
      <c r="K232" s="92"/>
      <c r="L232" s="92"/>
    </row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C143:C144"/>
    <mergeCell ref="C145:C146"/>
    <mergeCell ref="A133:A136"/>
    <mergeCell ref="A138:A141"/>
    <mergeCell ref="B138:B141"/>
    <mergeCell ref="C138:C139"/>
    <mergeCell ref="C140:C141"/>
    <mergeCell ref="A143:A146"/>
    <mergeCell ref="B143:B146"/>
    <mergeCell ref="A3:A6"/>
    <mergeCell ref="B3:B6"/>
    <mergeCell ref="C3:C4"/>
    <mergeCell ref="C5:C6"/>
    <mergeCell ref="B8:B11"/>
    <mergeCell ref="C8:C9"/>
    <mergeCell ref="C10:C11"/>
    <mergeCell ref="A8:A11"/>
    <mergeCell ref="A13:A16"/>
    <mergeCell ref="B13:B16"/>
    <mergeCell ref="A18:A21"/>
    <mergeCell ref="B18:B21"/>
    <mergeCell ref="A23:A26"/>
    <mergeCell ref="B23:B26"/>
    <mergeCell ref="C13:C14"/>
    <mergeCell ref="C15:C16"/>
    <mergeCell ref="C18:C19"/>
    <mergeCell ref="C20:C21"/>
    <mergeCell ref="C23:C24"/>
    <mergeCell ref="C25:C26"/>
    <mergeCell ref="C28:C29"/>
    <mergeCell ref="A28:A31"/>
    <mergeCell ref="B28:B31"/>
    <mergeCell ref="A33:A36"/>
    <mergeCell ref="B33:B36"/>
    <mergeCell ref="A38:A41"/>
    <mergeCell ref="B38:B41"/>
    <mergeCell ref="B43:B46"/>
    <mergeCell ref="C30:C31"/>
    <mergeCell ref="C33:C34"/>
    <mergeCell ref="C35:C36"/>
    <mergeCell ref="C38:C39"/>
    <mergeCell ref="C40:C41"/>
    <mergeCell ref="C43:C44"/>
    <mergeCell ref="C45:C46"/>
    <mergeCell ref="A43:A46"/>
    <mergeCell ref="A48:A51"/>
    <mergeCell ref="B48:B51"/>
    <mergeCell ref="A53:A56"/>
    <mergeCell ref="B53:B56"/>
    <mergeCell ref="A58:A61"/>
    <mergeCell ref="B58:B61"/>
    <mergeCell ref="A148:A151"/>
    <mergeCell ref="B148:B151"/>
    <mergeCell ref="C148:C149"/>
    <mergeCell ref="C150:C151"/>
    <mergeCell ref="A153:A156"/>
    <mergeCell ref="B153:B156"/>
    <mergeCell ref="C153:C154"/>
    <mergeCell ref="C155:C156"/>
    <mergeCell ref="C65:C66"/>
    <mergeCell ref="C68:C69"/>
    <mergeCell ref="C48:C49"/>
    <mergeCell ref="C50:C51"/>
    <mergeCell ref="C53:C54"/>
    <mergeCell ref="C55:C56"/>
    <mergeCell ref="C58:C59"/>
    <mergeCell ref="C60:C61"/>
    <mergeCell ref="C63:C64"/>
    <mergeCell ref="C73:C74"/>
    <mergeCell ref="C75:C76"/>
    <mergeCell ref="A63:A66"/>
    <mergeCell ref="B63:B66"/>
    <mergeCell ref="A68:A71"/>
    <mergeCell ref="B68:B71"/>
    <mergeCell ref="C70:C71"/>
    <mergeCell ref="A73:A76"/>
    <mergeCell ref="B73:B76"/>
    <mergeCell ref="A83:A86"/>
    <mergeCell ref="A88:A91"/>
    <mergeCell ref="B88:B91"/>
    <mergeCell ref="A78:A81"/>
    <mergeCell ref="B78:B81"/>
    <mergeCell ref="C78:C79"/>
    <mergeCell ref="C80:C81"/>
    <mergeCell ref="B83:B86"/>
    <mergeCell ref="C83:C84"/>
    <mergeCell ref="C85:C86"/>
    <mergeCell ref="C95:C96"/>
    <mergeCell ref="C98:C99"/>
    <mergeCell ref="C88:C89"/>
    <mergeCell ref="C90:C91"/>
    <mergeCell ref="A93:A96"/>
    <mergeCell ref="B93:B96"/>
    <mergeCell ref="C93:C94"/>
    <mergeCell ref="B98:B101"/>
    <mergeCell ref="C100:C101"/>
    <mergeCell ref="C108:C109"/>
    <mergeCell ref="C110:C111"/>
    <mergeCell ref="A98:A101"/>
    <mergeCell ref="A103:A106"/>
    <mergeCell ref="B103:B106"/>
    <mergeCell ref="C103:C104"/>
    <mergeCell ref="C105:C106"/>
    <mergeCell ref="A108:A111"/>
    <mergeCell ref="B108:B111"/>
    <mergeCell ref="A118:A121"/>
    <mergeCell ref="A123:A126"/>
    <mergeCell ref="B123:B126"/>
    <mergeCell ref="A113:A116"/>
    <mergeCell ref="B113:B116"/>
    <mergeCell ref="C113:C114"/>
    <mergeCell ref="C115:C116"/>
    <mergeCell ref="B118:B121"/>
    <mergeCell ref="C118:C119"/>
    <mergeCell ref="C120:C121"/>
    <mergeCell ref="C130:C131"/>
    <mergeCell ref="C133:C134"/>
    <mergeCell ref="C123:C124"/>
    <mergeCell ref="C125:C126"/>
    <mergeCell ref="A128:A131"/>
    <mergeCell ref="B128:B131"/>
    <mergeCell ref="C128:C129"/>
    <mergeCell ref="B133:B136"/>
    <mergeCell ref="C135:C13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8.71"/>
    <col customWidth="1" min="3" max="3" width="3.29"/>
    <col customWidth="1" min="4" max="4" width="10.0"/>
    <col customWidth="1" min="5" max="5" width="11.0"/>
    <col customWidth="1" min="6" max="6" width="10.29"/>
    <col customWidth="1" min="7" max="7" width="10.43"/>
    <col customWidth="1" min="8" max="8" width="10.86"/>
    <col customWidth="1" min="9" max="9" width="10.43"/>
    <col customWidth="1" min="10" max="10" width="6.71"/>
    <col customWidth="1" min="11" max="11" width="8.71"/>
    <col customWidth="1" min="12" max="12" width="8.43"/>
    <col customWidth="1" min="13" max="15" width="5.43"/>
    <col customWidth="1" min="16" max="24" width="8.71"/>
  </cols>
  <sheetData>
    <row r="1" ht="13.5" customHeight="1"/>
    <row r="2" ht="13.5" customHeight="1">
      <c r="B2" s="93">
        <f>'【大井町】売上'!B1</f>
        <v>46054</v>
      </c>
      <c r="C2" s="23"/>
      <c r="D2" s="94"/>
      <c r="E2" s="94"/>
      <c r="F2" s="94"/>
      <c r="G2" s="94"/>
      <c r="H2" s="94"/>
      <c r="I2" s="94"/>
      <c r="J2" s="95"/>
      <c r="K2" s="95"/>
      <c r="L2" s="95"/>
      <c r="M2" s="95"/>
      <c r="N2" s="95"/>
      <c r="O2" s="95"/>
      <c r="Q2" s="34"/>
    </row>
    <row r="3" ht="13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/>
      <c r="K3" s="1" t="s">
        <v>8</v>
      </c>
      <c r="L3" s="1" t="s">
        <v>12</v>
      </c>
      <c r="M3" s="1" t="s">
        <v>13</v>
      </c>
      <c r="N3" s="1" t="s">
        <v>14</v>
      </c>
      <c r="O3" s="1" t="s">
        <v>15</v>
      </c>
    </row>
    <row r="4" ht="13.5" customHeight="1">
      <c r="B4" s="10">
        <f>'【大井町】売上'!B4</f>
        <v>46054</v>
      </c>
      <c r="C4" s="11" t="str">
        <f>'【大井町】売上'!C4</f>
        <v>日</v>
      </c>
      <c r="D4" s="12">
        <f>'シフト2'!J7</f>
        <v>0</v>
      </c>
      <c r="E4" s="96">
        <f>'シフト2'!K7</f>
        <v>0</v>
      </c>
      <c r="F4" s="96">
        <f t="shared" ref="F4:F34" si="1">D4-E4</f>
        <v>0</v>
      </c>
      <c r="G4" s="13">
        <f>SUM(D4)</f>
        <v>0</v>
      </c>
      <c r="H4" s="13">
        <v>80000.0</v>
      </c>
      <c r="I4" s="13">
        <f>H4</f>
        <v>80000</v>
      </c>
      <c r="J4" s="14">
        <f t="shared" ref="J4:J34" si="2">G4/I4</f>
        <v>0</v>
      </c>
      <c r="K4" s="15">
        <f t="shared" ref="K4:K34" si="3">G4-I4</f>
        <v>-80000</v>
      </c>
      <c r="L4" s="16" t="str">
        <f t="shared" ref="L4:L34" si="4">D4/SUM(M4:O4)</f>
        <v>#DIV/0!</v>
      </c>
      <c r="M4" s="11">
        <f>'シフト2'!N6</f>
        <v>0</v>
      </c>
      <c r="N4" s="11">
        <f>'シフト2'!O6</f>
        <v>0</v>
      </c>
      <c r="O4" s="11">
        <f>'シフト2'!P6</f>
        <v>0</v>
      </c>
    </row>
    <row r="5" ht="13.5" customHeight="1">
      <c r="B5" s="10">
        <f>'【大井町】売上'!B5</f>
        <v>46055</v>
      </c>
      <c r="C5" s="11" t="str">
        <f>'【大井町】売上'!C5</f>
        <v>月</v>
      </c>
      <c r="D5" s="12">
        <f>'シフト2'!J12</f>
        <v>82000</v>
      </c>
      <c r="E5" s="97">
        <f>'シフト2'!K12</f>
        <v>44500</v>
      </c>
      <c r="F5" s="97">
        <f t="shared" si="1"/>
        <v>37500</v>
      </c>
      <c r="G5" s="13">
        <f t="shared" ref="G5:G33" si="5">SUM(D5+G4)</f>
        <v>82000</v>
      </c>
      <c r="H5" s="13">
        <v>80000.0</v>
      </c>
      <c r="I5" s="13">
        <f t="shared" ref="I5:I34" si="6">H5+I4</f>
        <v>160000</v>
      </c>
      <c r="J5" s="14">
        <f t="shared" si="2"/>
        <v>0.5125</v>
      </c>
      <c r="K5" s="15">
        <f t="shared" si="3"/>
        <v>-78000</v>
      </c>
      <c r="L5" s="16">
        <f t="shared" si="4"/>
        <v>16400</v>
      </c>
      <c r="M5" s="11">
        <f>'シフト2'!N11</f>
        <v>1</v>
      </c>
      <c r="N5" s="11">
        <f>'シフト2'!O11</f>
        <v>2</v>
      </c>
      <c r="O5" s="11">
        <f>'シフト2'!P11</f>
        <v>2</v>
      </c>
    </row>
    <row r="6" ht="13.5" customHeight="1">
      <c r="B6" s="10">
        <f>'【大井町】売上'!B6</f>
        <v>46056</v>
      </c>
      <c r="C6" s="11" t="str">
        <f>'【大井町】売上'!C6</f>
        <v>火</v>
      </c>
      <c r="D6" s="12">
        <f>'シフト2'!J17</f>
        <v>60000</v>
      </c>
      <c r="E6" s="97">
        <f>'シフト2'!K17</f>
        <v>34000</v>
      </c>
      <c r="F6" s="97">
        <f t="shared" si="1"/>
        <v>26000</v>
      </c>
      <c r="G6" s="13">
        <f t="shared" si="5"/>
        <v>142000</v>
      </c>
      <c r="H6" s="13">
        <v>80000.0</v>
      </c>
      <c r="I6" s="13">
        <f t="shared" si="6"/>
        <v>240000</v>
      </c>
      <c r="J6" s="14">
        <f t="shared" si="2"/>
        <v>0.5916666667</v>
      </c>
      <c r="K6" s="15">
        <f t="shared" si="3"/>
        <v>-98000</v>
      </c>
      <c r="L6" s="17">
        <f t="shared" si="4"/>
        <v>15000</v>
      </c>
      <c r="M6" s="11">
        <f>'シフト2'!N16</f>
        <v>0</v>
      </c>
      <c r="N6" s="11">
        <f>'シフト2'!O16</f>
        <v>4</v>
      </c>
      <c r="O6" s="11">
        <f>'シフト2'!P16</f>
        <v>0</v>
      </c>
    </row>
    <row r="7" ht="13.5" customHeight="1">
      <c r="B7" s="10">
        <f>'【大井町】売上'!B7</f>
        <v>46057</v>
      </c>
      <c r="C7" s="11" t="str">
        <f>'【大井町】売上'!C7</f>
        <v>水</v>
      </c>
      <c r="D7" s="12">
        <f>'シフト2'!J22</f>
        <v>62000</v>
      </c>
      <c r="E7" s="97">
        <f>'シフト2'!K22</f>
        <v>35000</v>
      </c>
      <c r="F7" s="97">
        <f t="shared" si="1"/>
        <v>27000</v>
      </c>
      <c r="G7" s="13">
        <f t="shared" si="5"/>
        <v>204000</v>
      </c>
      <c r="H7" s="13">
        <v>80000.0</v>
      </c>
      <c r="I7" s="13">
        <f t="shared" si="6"/>
        <v>320000</v>
      </c>
      <c r="J7" s="14">
        <f t="shared" si="2"/>
        <v>0.6375</v>
      </c>
      <c r="K7" s="15">
        <f t="shared" si="3"/>
        <v>-116000</v>
      </c>
      <c r="L7" s="17">
        <f t="shared" si="4"/>
        <v>15500</v>
      </c>
      <c r="M7" s="11">
        <f>'シフト2'!N21</f>
        <v>1</v>
      </c>
      <c r="N7" s="11">
        <f>'シフト2'!O21</f>
        <v>3</v>
      </c>
      <c r="O7" s="11">
        <f>'シフト2'!P21</f>
        <v>0</v>
      </c>
    </row>
    <row r="8" ht="13.5" customHeight="1">
      <c r="B8" s="10">
        <f>'【大井町】売上'!B8</f>
        <v>46058</v>
      </c>
      <c r="C8" s="11" t="str">
        <f>'【大井町】売上'!C8</f>
        <v>木</v>
      </c>
      <c r="D8" s="12">
        <f>'シフト2'!J27</f>
        <v>89000</v>
      </c>
      <c r="E8" s="97">
        <f>'シフト2'!K27</f>
        <v>50925</v>
      </c>
      <c r="F8" s="97">
        <f t="shared" si="1"/>
        <v>38075</v>
      </c>
      <c r="G8" s="13">
        <f t="shared" si="5"/>
        <v>293000</v>
      </c>
      <c r="H8" s="13">
        <v>80000.0</v>
      </c>
      <c r="I8" s="13">
        <f t="shared" si="6"/>
        <v>400000</v>
      </c>
      <c r="J8" s="14">
        <f t="shared" si="2"/>
        <v>0.7325</v>
      </c>
      <c r="K8" s="15">
        <f t="shared" si="3"/>
        <v>-107000</v>
      </c>
      <c r="L8" s="17">
        <f t="shared" si="4"/>
        <v>14833.33333</v>
      </c>
      <c r="M8" s="11">
        <f>'シフト2'!N26</f>
        <v>0</v>
      </c>
      <c r="N8" s="11">
        <f>'シフト2'!O26</f>
        <v>5</v>
      </c>
      <c r="O8" s="11">
        <f>'シフト2'!P26</f>
        <v>1</v>
      </c>
    </row>
    <row r="9" ht="13.5" customHeight="1">
      <c r="A9" s="98"/>
      <c r="B9" s="10">
        <f>'【大井町】売上'!B9</f>
        <v>46059</v>
      </c>
      <c r="C9" s="11" t="str">
        <f>'【大井町】売上'!C9</f>
        <v>金</v>
      </c>
      <c r="D9" s="12">
        <f>'シフト2'!J32</f>
        <v>86000</v>
      </c>
      <c r="E9" s="97">
        <f>'シフト2'!K32</f>
        <v>45099</v>
      </c>
      <c r="F9" s="97">
        <f t="shared" si="1"/>
        <v>40901</v>
      </c>
      <c r="G9" s="13">
        <f t="shared" si="5"/>
        <v>379000</v>
      </c>
      <c r="H9" s="13">
        <v>80000.0</v>
      </c>
      <c r="I9" s="13">
        <f t="shared" si="6"/>
        <v>480000</v>
      </c>
      <c r="J9" s="14">
        <f t="shared" si="2"/>
        <v>0.7895833333</v>
      </c>
      <c r="K9" s="15">
        <f t="shared" si="3"/>
        <v>-101000</v>
      </c>
      <c r="L9" s="17">
        <f t="shared" si="4"/>
        <v>17200</v>
      </c>
      <c r="M9" s="11">
        <f>'シフト2'!N31</f>
        <v>0</v>
      </c>
      <c r="N9" s="11">
        <f>'シフト2'!O31</f>
        <v>4</v>
      </c>
      <c r="O9" s="11">
        <f>'シフト2'!P31</f>
        <v>1</v>
      </c>
    </row>
    <row r="10" ht="13.5" customHeight="1">
      <c r="A10" s="35"/>
      <c r="B10" s="10">
        <f>'【大井町】売上'!B10</f>
        <v>46060</v>
      </c>
      <c r="C10" s="11" t="str">
        <f>'【大井町】売上'!C10</f>
        <v>土</v>
      </c>
      <c r="D10" s="12">
        <f>'シフト2'!J37</f>
        <v>59000</v>
      </c>
      <c r="E10" s="97">
        <f>'シフト2'!K37</f>
        <v>34447</v>
      </c>
      <c r="F10" s="97">
        <f t="shared" si="1"/>
        <v>24553</v>
      </c>
      <c r="G10" s="13">
        <f t="shared" si="5"/>
        <v>438000</v>
      </c>
      <c r="H10" s="13">
        <v>80000.0</v>
      </c>
      <c r="I10" s="13">
        <f t="shared" si="6"/>
        <v>560000</v>
      </c>
      <c r="J10" s="14">
        <f t="shared" si="2"/>
        <v>0.7821428571</v>
      </c>
      <c r="K10" s="15">
        <f t="shared" si="3"/>
        <v>-122000</v>
      </c>
      <c r="L10" s="17">
        <f t="shared" si="4"/>
        <v>14750</v>
      </c>
      <c r="M10" s="11">
        <f>'シフト2'!N36</f>
        <v>3</v>
      </c>
      <c r="N10" s="11">
        <f>'シフト2'!O36</f>
        <v>1</v>
      </c>
      <c r="O10" s="11">
        <f>'シフト2'!P36</f>
        <v>0</v>
      </c>
    </row>
    <row r="11" ht="13.5" customHeight="1">
      <c r="A11" s="35">
        <f>SUM(D4:D10)</f>
        <v>438000</v>
      </c>
      <c r="B11" s="10">
        <f>'【大井町】売上'!B11</f>
        <v>46061</v>
      </c>
      <c r="C11" s="11" t="str">
        <f>'【大井町】売上'!C11</f>
        <v>日</v>
      </c>
      <c r="D11" s="12">
        <f>'シフト2'!J42</f>
        <v>30000</v>
      </c>
      <c r="E11" s="97">
        <f>'シフト2'!K42</f>
        <v>17000</v>
      </c>
      <c r="F11" s="97">
        <f t="shared" si="1"/>
        <v>13000</v>
      </c>
      <c r="G11" s="13">
        <f t="shared" si="5"/>
        <v>468000</v>
      </c>
      <c r="H11" s="13">
        <v>80000.0</v>
      </c>
      <c r="I11" s="13">
        <f t="shared" si="6"/>
        <v>640000</v>
      </c>
      <c r="J11" s="14">
        <f t="shared" si="2"/>
        <v>0.73125</v>
      </c>
      <c r="K11" s="15">
        <f t="shared" si="3"/>
        <v>-172000</v>
      </c>
      <c r="L11" s="17">
        <f t="shared" si="4"/>
        <v>15000</v>
      </c>
      <c r="M11" s="11">
        <f>'シフト2'!N41</f>
        <v>1</v>
      </c>
      <c r="N11" s="11">
        <f>'シフト2'!O41</f>
        <v>1</v>
      </c>
      <c r="O11" s="11">
        <f>'シフト2'!P41</f>
        <v>0</v>
      </c>
    </row>
    <row r="12" ht="13.5" customHeight="1">
      <c r="A12" s="35"/>
      <c r="B12" s="10">
        <f>'【大井町】売上'!B12</f>
        <v>46062</v>
      </c>
      <c r="C12" s="11" t="str">
        <f>'【大井町】売上'!C12</f>
        <v>月</v>
      </c>
      <c r="D12" s="12">
        <f>'シフト2'!J47</f>
        <v>138000</v>
      </c>
      <c r="E12" s="97">
        <f>'シフト2'!K47</f>
        <v>77000</v>
      </c>
      <c r="F12" s="97">
        <f t="shared" si="1"/>
        <v>61000</v>
      </c>
      <c r="G12" s="13">
        <f t="shared" si="5"/>
        <v>606000</v>
      </c>
      <c r="H12" s="13">
        <v>80000.0</v>
      </c>
      <c r="I12" s="13">
        <f t="shared" si="6"/>
        <v>720000</v>
      </c>
      <c r="J12" s="14">
        <f t="shared" si="2"/>
        <v>0.8416666667</v>
      </c>
      <c r="K12" s="15">
        <f t="shared" si="3"/>
        <v>-114000</v>
      </c>
      <c r="L12" s="17">
        <f t="shared" si="4"/>
        <v>17250</v>
      </c>
      <c r="M12" s="11">
        <f>'シフト2'!N46</f>
        <v>1</v>
      </c>
      <c r="N12" s="11">
        <f>'シフト2'!O46</f>
        <v>6</v>
      </c>
      <c r="O12" s="11">
        <f>'シフト2'!P46</f>
        <v>1</v>
      </c>
    </row>
    <row r="13" ht="13.5" customHeight="1">
      <c r="B13" s="10">
        <f>'【大井町】売上'!B13</f>
        <v>46063</v>
      </c>
      <c r="C13" s="11" t="str">
        <f>'【大井町】売上'!C13</f>
        <v>火</v>
      </c>
      <c r="D13" s="12">
        <f>'シフト2'!J52</f>
        <v>112000</v>
      </c>
      <c r="E13" s="97">
        <f>'シフト2'!K52</f>
        <v>61000</v>
      </c>
      <c r="F13" s="97">
        <f t="shared" si="1"/>
        <v>51000</v>
      </c>
      <c r="G13" s="13">
        <f t="shared" si="5"/>
        <v>718000</v>
      </c>
      <c r="H13" s="13">
        <v>80000.0</v>
      </c>
      <c r="I13" s="13">
        <f t="shared" si="6"/>
        <v>800000</v>
      </c>
      <c r="J13" s="14">
        <f t="shared" si="2"/>
        <v>0.8975</v>
      </c>
      <c r="K13" s="15">
        <f t="shared" si="3"/>
        <v>-82000</v>
      </c>
      <c r="L13" s="17">
        <f t="shared" si="4"/>
        <v>18666.66667</v>
      </c>
      <c r="M13" s="11">
        <f>'シフト2'!N51</f>
        <v>3</v>
      </c>
      <c r="N13" s="11">
        <f>'シフト2'!O51</f>
        <v>3</v>
      </c>
      <c r="O13" s="11">
        <f>'シフト2'!P51</f>
        <v>0</v>
      </c>
    </row>
    <row r="14" ht="13.5" customHeight="1">
      <c r="B14" s="10">
        <f>'【大井町】売上'!B14</f>
        <v>46064</v>
      </c>
      <c r="C14" s="11" t="str">
        <f>'【大井町】売上'!C14</f>
        <v>水</v>
      </c>
      <c r="D14" s="12">
        <f>'シフト2'!J57</f>
        <v>73000</v>
      </c>
      <c r="E14" s="97">
        <f>'シフト2'!K57</f>
        <v>38500</v>
      </c>
      <c r="F14" s="97">
        <f t="shared" si="1"/>
        <v>34500</v>
      </c>
      <c r="G14" s="13">
        <f t="shared" si="5"/>
        <v>791000</v>
      </c>
      <c r="H14" s="13">
        <v>80000.0</v>
      </c>
      <c r="I14" s="13">
        <f t="shared" si="6"/>
        <v>880000</v>
      </c>
      <c r="J14" s="14">
        <f t="shared" si="2"/>
        <v>0.8988636364</v>
      </c>
      <c r="K14" s="15">
        <f t="shared" si="3"/>
        <v>-89000</v>
      </c>
      <c r="L14" s="17">
        <f t="shared" si="4"/>
        <v>18250</v>
      </c>
      <c r="M14" s="11">
        <f>'シフト2'!N56</f>
        <v>1</v>
      </c>
      <c r="N14" s="11">
        <f>'シフト2'!O56</f>
        <v>3</v>
      </c>
      <c r="O14" s="11">
        <f>'シフト2'!P56</f>
        <v>0</v>
      </c>
    </row>
    <row r="15" ht="13.5" customHeight="1">
      <c r="B15" s="10">
        <f>'【大井町】売上'!B15</f>
        <v>46065</v>
      </c>
      <c r="C15" s="11" t="str">
        <f>'【大井町】売上'!C15</f>
        <v>木</v>
      </c>
      <c r="D15" s="12">
        <f>'シフト2'!J62</f>
        <v>97000</v>
      </c>
      <c r="E15" s="97">
        <f>'シフト2'!K62</f>
        <v>56847</v>
      </c>
      <c r="F15" s="97">
        <f t="shared" si="1"/>
        <v>40153</v>
      </c>
      <c r="G15" s="13">
        <f t="shared" si="5"/>
        <v>888000</v>
      </c>
      <c r="H15" s="13">
        <v>80000.0</v>
      </c>
      <c r="I15" s="13">
        <f t="shared" si="6"/>
        <v>960000</v>
      </c>
      <c r="J15" s="14">
        <f t="shared" si="2"/>
        <v>0.925</v>
      </c>
      <c r="K15" s="15">
        <f t="shared" si="3"/>
        <v>-72000</v>
      </c>
      <c r="L15" s="17">
        <f t="shared" si="4"/>
        <v>16166.66667</v>
      </c>
      <c r="M15" s="11">
        <f>'シフト2'!N61</f>
        <v>0</v>
      </c>
      <c r="N15" s="11">
        <f>'シフト2'!O61</f>
        <v>4</v>
      </c>
      <c r="O15" s="11">
        <f>'シフト2'!P61</f>
        <v>2</v>
      </c>
    </row>
    <row r="16" ht="13.5" customHeight="1">
      <c r="B16" s="10">
        <f>'【大井町】売上'!B16</f>
        <v>46066</v>
      </c>
      <c r="C16" s="11" t="str">
        <f>'【大井町】売上'!C16</f>
        <v>金</v>
      </c>
      <c r="D16" s="12">
        <f>'シフト2'!J67</f>
        <v>51000</v>
      </c>
      <c r="E16" s="97">
        <f>'シフト2'!K67</f>
        <v>29000</v>
      </c>
      <c r="F16" s="97">
        <f t="shared" si="1"/>
        <v>22000</v>
      </c>
      <c r="G16" s="13">
        <f t="shared" si="5"/>
        <v>939000</v>
      </c>
      <c r="H16" s="13">
        <v>80000.0</v>
      </c>
      <c r="I16" s="13">
        <f t="shared" si="6"/>
        <v>1040000</v>
      </c>
      <c r="J16" s="14">
        <f t="shared" si="2"/>
        <v>0.9028846154</v>
      </c>
      <c r="K16" s="15">
        <f t="shared" si="3"/>
        <v>-101000</v>
      </c>
      <c r="L16" s="17">
        <f t="shared" si="4"/>
        <v>17000</v>
      </c>
      <c r="M16" s="11">
        <f>'シフト2'!N66</f>
        <v>0</v>
      </c>
      <c r="N16" s="11">
        <f>'シフト2'!O66</f>
        <v>1</v>
      </c>
      <c r="O16" s="11">
        <f>'シフト2'!P66</f>
        <v>2</v>
      </c>
    </row>
    <row r="17" ht="13.5" customHeight="1">
      <c r="A17" s="35"/>
      <c r="B17" s="10">
        <f>'【大井町】売上'!B17</f>
        <v>46067</v>
      </c>
      <c r="C17" s="11" t="str">
        <f>'【大井町】売上'!C17</f>
        <v>土</v>
      </c>
      <c r="D17" s="12">
        <f>'シフト2'!J72</f>
        <v>64000</v>
      </c>
      <c r="E17" s="97">
        <f>'シフト2'!K72</f>
        <v>40822</v>
      </c>
      <c r="F17" s="97">
        <f t="shared" si="1"/>
        <v>23178</v>
      </c>
      <c r="G17" s="13">
        <f t="shared" si="5"/>
        <v>1003000</v>
      </c>
      <c r="H17" s="13">
        <v>80000.0</v>
      </c>
      <c r="I17" s="13">
        <f t="shared" si="6"/>
        <v>1120000</v>
      </c>
      <c r="J17" s="14">
        <f t="shared" si="2"/>
        <v>0.8955357143</v>
      </c>
      <c r="K17" s="15">
        <f t="shared" si="3"/>
        <v>-117000</v>
      </c>
      <c r="L17" s="17">
        <f t="shared" si="4"/>
        <v>21333.33333</v>
      </c>
      <c r="M17" s="11">
        <f>'シフト2'!N71</f>
        <v>0</v>
      </c>
      <c r="N17" s="11">
        <f>'シフト2'!O71</f>
        <v>3</v>
      </c>
      <c r="O17" s="11">
        <f>'シフト2'!P71</f>
        <v>0</v>
      </c>
    </row>
    <row r="18" ht="13.5" customHeight="1">
      <c r="A18" s="35">
        <f>SUM(D11:D17)</f>
        <v>565000</v>
      </c>
      <c r="B18" s="10">
        <f>'【大井町】売上'!B18</f>
        <v>46068</v>
      </c>
      <c r="C18" s="11" t="str">
        <f>'【大井町】売上'!C18</f>
        <v>日</v>
      </c>
      <c r="D18" s="12">
        <f>'シフト2'!J77</f>
        <v>68000</v>
      </c>
      <c r="E18" s="97">
        <f>'シフト2'!K77</f>
        <v>35000</v>
      </c>
      <c r="F18" s="97">
        <f t="shared" si="1"/>
        <v>33000</v>
      </c>
      <c r="G18" s="13">
        <f t="shared" si="5"/>
        <v>1071000</v>
      </c>
      <c r="H18" s="13">
        <v>80000.0</v>
      </c>
      <c r="I18" s="13">
        <f t="shared" si="6"/>
        <v>1200000</v>
      </c>
      <c r="J18" s="14">
        <f t="shared" si="2"/>
        <v>0.8925</v>
      </c>
      <c r="K18" s="15">
        <f t="shared" si="3"/>
        <v>-129000</v>
      </c>
      <c r="L18" s="17">
        <f t="shared" si="4"/>
        <v>17000</v>
      </c>
      <c r="M18" s="11">
        <f>'シフト2'!N76</f>
        <v>0</v>
      </c>
      <c r="N18" s="11">
        <f>'シフト2'!O76</f>
        <v>3</v>
      </c>
      <c r="O18" s="11">
        <f>'シフト2'!P76</f>
        <v>1</v>
      </c>
    </row>
    <row r="19" ht="13.5" customHeight="1">
      <c r="A19" s="35"/>
      <c r="B19" s="10">
        <f>'【大井町】売上'!B19</f>
        <v>46069</v>
      </c>
      <c r="C19" s="11" t="str">
        <f>'【大井町】売上'!C19</f>
        <v>月</v>
      </c>
      <c r="D19" s="12">
        <f>'シフト2'!J82</f>
        <v>92000</v>
      </c>
      <c r="E19" s="97">
        <f>'シフト2'!K82</f>
        <v>52500</v>
      </c>
      <c r="F19" s="97">
        <f t="shared" si="1"/>
        <v>39500</v>
      </c>
      <c r="G19" s="13">
        <f t="shared" si="5"/>
        <v>1163000</v>
      </c>
      <c r="H19" s="13">
        <v>80000.0</v>
      </c>
      <c r="I19" s="13">
        <f t="shared" si="6"/>
        <v>1280000</v>
      </c>
      <c r="J19" s="14">
        <f t="shared" si="2"/>
        <v>0.90859375</v>
      </c>
      <c r="K19" s="15">
        <f t="shared" si="3"/>
        <v>-117000</v>
      </c>
      <c r="L19" s="17">
        <f t="shared" si="4"/>
        <v>18400</v>
      </c>
      <c r="M19" s="11">
        <f>'シフト2'!N81</f>
        <v>0</v>
      </c>
      <c r="N19" s="11">
        <f>'シフト2'!O81</f>
        <v>3</v>
      </c>
      <c r="O19" s="11">
        <f>'シフト2'!P81</f>
        <v>2</v>
      </c>
    </row>
    <row r="20" ht="13.5" customHeight="1">
      <c r="B20" s="10">
        <f>'【大井町】売上'!B20</f>
        <v>46070</v>
      </c>
      <c r="C20" s="11" t="str">
        <f>'【大井町】売上'!C20</f>
        <v>火</v>
      </c>
      <c r="D20" s="12">
        <f>'シフト2'!J87</f>
        <v>90000</v>
      </c>
      <c r="E20" s="97">
        <f>'シフト2'!K87</f>
        <v>53600</v>
      </c>
      <c r="F20" s="97">
        <f t="shared" si="1"/>
        <v>36400</v>
      </c>
      <c r="G20" s="13">
        <f t="shared" si="5"/>
        <v>1253000</v>
      </c>
      <c r="H20" s="13">
        <v>80000.0</v>
      </c>
      <c r="I20" s="13">
        <f t="shared" si="6"/>
        <v>1360000</v>
      </c>
      <c r="J20" s="14">
        <f t="shared" si="2"/>
        <v>0.9213235294</v>
      </c>
      <c r="K20" s="15">
        <f t="shared" si="3"/>
        <v>-107000</v>
      </c>
      <c r="L20" s="17">
        <f t="shared" si="4"/>
        <v>15000</v>
      </c>
      <c r="M20" s="11">
        <f>'シフト2'!N86</f>
        <v>1</v>
      </c>
      <c r="N20" s="11">
        <f>'シフト2'!O86</f>
        <v>5</v>
      </c>
      <c r="O20" s="11">
        <f>'シフト2'!P86</f>
        <v>0</v>
      </c>
    </row>
    <row r="21" ht="13.5" customHeight="1">
      <c r="B21" s="10">
        <f>'【大井町】売上'!B21</f>
        <v>46071</v>
      </c>
      <c r="C21" s="11" t="str">
        <f>'【大井町】売上'!C21</f>
        <v>水</v>
      </c>
      <c r="D21" s="12">
        <f>'シフト2'!J92</f>
        <v>63000</v>
      </c>
      <c r="E21" s="97">
        <f>'シフト2'!K92</f>
        <v>36500</v>
      </c>
      <c r="F21" s="97">
        <f t="shared" si="1"/>
        <v>26500</v>
      </c>
      <c r="G21" s="13">
        <f t="shared" si="5"/>
        <v>1316000</v>
      </c>
      <c r="H21" s="13">
        <v>80000.0</v>
      </c>
      <c r="I21" s="13">
        <f t="shared" si="6"/>
        <v>1440000</v>
      </c>
      <c r="J21" s="14">
        <f t="shared" si="2"/>
        <v>0.9138888889</v>
      </c>
      <c r="K21" s="15">
        <f t="shared" si="3"/>
        <v>-124000</v>
      </c>
      <c r="L21" s="17">
        <f t="shared" si="4"/>
        <v>15750</v>
      </c>
      <c r="M21" s="11">
        <f>'シフト2'!N91</f>
        <v>0</v>
      </c>
      <c r="N21" s="11">
        <f>'シフト2'!O91</f>
        <v>3</v>
      </c>
      <c r="O21" s="11">
        <f>'シフト2'!P91</f>
        <v>1</v>
      </c>
    </row>
    <row r="22" ht="13.5" customHeight="1">
      <c r="B22" s="10">
        <f>'【大井町】売上'!B22</f>
        <v>46072</v>
      </c>
      <c r="C22" s="11" t="str">
        <f>'【大井町】売上'!C22</f>
        <v>木</v>
      </c>
      <c r="D22" s="12">
        <f>'シフト2'!J97</f>
        <v>79000</v>
      </c>
      <c r="E22" s="97">
        <f>'シフト2'!K97</f>
        <v>45764</v>
      </c>
      <c r="F22" s="97">
        <f t="shared" si="1"/>
        <v>33236</v>
      </c>
      <c r="G22" s="13">
        <f t="shared" si="5"/>
        <v>1395000</v>
      </c>
      <c r="H22" s="13">
        <v>80000.0</v>
      </c>
      <c r="I22" s="13">
        <f t="shared" si="6"/>
        <v>1520000</v>
      </c>
      <c r="J22" s="14">
        <f t="shared" si="2"/>
        <v>0.9177631579</v>
      </c>
      <c r="K22" s="15">
        <f t="shared" si="3"/>
        <v>-125000</v>
      </c>
      <c r="L22" s="17">
        <f t="shared" si="4"/>
        <v>15800</v>
      </c>
      <c r="M22" s="11">
        <f>'シフト2'!N96</f>
        <v>1</v>
      </c>
      <c r="N22" s="11">
        <f>'シフト2'!O96</f>
        <v>4</v>
      </c>
      <c r="O22" s="11">
        <f>'シフト2'!P96</f>
        <v>0</v>
      </c>
    </row>
    <row r="23" ht="13.5" customHeight="1">
      <c r="B23" s="10">
        <f>'【大井町】売上'!B23</f>
        <v>46073</v>
      </c>
      <c r="C23" s="11" t="str">
        <f>'【大井町】売上'!C23</f>
        <v>金</v>
      </c>
      <c r="D23" s="12">
        <f>'シフト2'!J102</f>
        <v>60000</v>
      </c>
      <c r="E23" s="97">
        <f>'シフト2'!K102</f>
        <v>33349</v>
      </c>
      <c r="F23" s="97">
        <f t="shared" si="1"/>
        <v>26651</v>
      </c>
      <c r="G23" s="13">
        <f t="shared" si="5"/>
        <v>1455000</v>
      </c>
      <c r="H23" s="13">
        <v>80000.0</v>
      </c>
      <c r="I23" s="13">
        <f t="shared" si="6"/>
        <v>1600000</v>
      </c>
      <c r="J23" s="14">
        <f t="shared" si="2"/>
        <v>0.909375</v>
      </c>
      <c r="K23" s="15">
        <f t="shared" si="3"/>
        <v>-145000</v>
      </c>
      <c r="L23" s="17">
        <f t="shared" si="4"/>
        <v>15000</v>
      </c>
      <c r="M23" s="11">
        <f>'シフト2'!N101</f>
        <v>0</v>
      </c>
      <c r="N23" s="11">
        <f>'シフト2'!O101</f>
        <v>2</v>
      </c>
      <c r="O23" s="11">
        <f>'シフト2'!P101</f>
        <v>2</v>
      </c>
    </row>
    <row r="24" ht="13.5" customHeight="1">
      <c r="A24" s="35"/>
      <c r="B24" s="10">
        <f>'【大井町】売上'!B24</f>
        <v>46074</v>
      </c>
      <c r="C24" s="11" t="str">
        <f>'【大井町】売上'!C24</f>
        <v>土</v>
      </c>
      <c r="D24" s="12">
        <f>'シフト2'!J107</f>
        <v>46000</v>
      </c>
      <c r="E24" s="97">
        <f>'シフト2'!K107</f>
        <v>26000</v>
      </c>
      <c r="F24" s="97">
        <f t="shared" si="1"/>
        <v>20000</v>
      </c>
      <c r="G24" s="13">
        <f t="shared" si="5"/>
        <v>1501000</v>
      </c>
      <c r="H24" s="13">
        <v>80000.0</v>
      </c>
      <c r="I24" s="13">
        <f t="shared" si="6"/>
        <v>1680000</v>
      </c>
      <c r="J24" s="14">
        <f t="shared" si="2"/>
        <v>0.893452381</v>
      </c>
      <c r="K24" s="15">
        <f t="shared" si="3"/>
        <v>-179000</v>
      </c>
      <c r="L24" s="17">
        <f t="shared" si="4"/>
        <v>15333.33333</v>
      </c>
      <c r="M24" s="11">
        <f>'シフト2'!N106</f>
        <v>2</v>
      </c>
      <c r="N24" s="11">
        <f>'シフト2'!O106</f>
        <v>0</v>
      </c>
      <c r="O24" s="11">
        <f>'シフト2'!P106</f>
        <v>1</v>
      </c>
    </row>
    <row r="25" ht="13.5" customHeight="1">
      <c r="A25" s="35">
        <f>SUM(D18:D24)</f>
        <v>498000</v>
      </c>
      <c r="B25" s="10">
        <f>'【大井町】売上'!B25</f>
        <v>46075</v>
      </c>
      <c r="C25" s="11" t="str">
        <f>'【大井町】売上'!C25</f>
        <v>日</v>
      </c>
      <c r="D25" s="12">
        <f>'シフト2'!J112</f>
        <v>66000</v>
      </c>
      <c r="E25" s="97">
        <f>'シフト2'!K112</f>
        <v>35000</v>
      </c>
      <c r="F25" s="97">
        <f t="shared" si="1"/>
        <v>31000</v>
      </c>
      <c r="G25" s="13">
        <f t="shared" si="5"/>
        <v>1567000</v>
      </c>
      <c r="H25" s="13">
        <v>80000.0</v>
      </c>
      <c r="I25" s="13">
        <f t="shared" si="6"/>
        <v>1760000</v>
      </c>
      <c r="J25" s="14">
        <f t="shared" si="2"/>
        <v>0.8903409091</v>
      </c>
      <c r="K25" s="15">
        <f t="shared" si="3"/>
        <v>-193000</v>
      </c>
      <c r="L25" s="17">
        <f t="shared" si="4"/>
        <v>13200</v>
      </c>
      <c r="M25" s="11">
        <f>'シフト2'!N111</f>
        <v>3</v>
      </c>
      <c r="N25" s="11">
        <f>'シフト2'!O111</f>
        <v>2</v>
      </c>
      <c r="O25" s="11">
        <f>'シフト2'!P111</f>
        <v>0</v>
      </c>
    </row>
    <row r="26" ht="13.5" customHeight="1">
      <c r="A26" s="35"/>
      <c r="B26" s="10">
        <f>'【大井町】売上'!B26</f>
        <v>46076</v>
      </c>
      <c r="C26" s="11" t="str">
        <f>'【大井町】売上'!C26</f>
        <v>月</v>
      </c>
      <c r="D26" s="12">
        <f>'シフト2'!J117</f>
        <v>0</v>
      </c>
      <c r="E26" s="97">
        <f>'シフト2'!K117</f>
        <v>0</v>
      </c>
      <c r="F26" s="97">
        <f t="shared" si="1"/>
        <v>0</v>
      </c>
      <c r="G26" s="13">
        <f t="shared" si="5"/>
        <v>1567000</v>
      </c>
      <c r="H26" s="13">
        <v>80000.0</v>
      </c>
      <c r="I26" s="13">
        <f t="shared" si="6"/>
        <v>1840000</v>
      </c>
      <c r="J26" s="14">
        <f t="shared" si="2"/>
        <v>0.8516304348</v>
      </c>
      <c r="K26" s="15">
        <f t="shared" si="3"/>
        <v>-273000</v>
      </c>
      <c r="L26" s="17" t="str">
        <f t="shared" si="4"/>
        <v>#DIV/0!</v>
      </c>
      <c r="M26" s="11">
        <f>'シフト2'!N116</f>
        <v>0</v>
      </c>
      <c r="N26" s="11">
        <f>'シフト2'!O116</f>
        <v>0</v>
      </c>
      <c r="O26" s="11">
        <f>'シフト2'!P116</f>
        <v>0</v>
      </c>
    </row>
    <row r="27" ht="13.5" customHeight="1">
      <c r="B27" s="10">
        <f>'【大井町】売上'!B27</f>
        <v>46077</v>
      </c>
      <c r="C27" s="11" t="str">
        <f>'【大井町】売上'!C27</f>
        <v>火</v>
      </c>
      <c r="D27" s="12">
        <f>'シフト2'!J122</f>
        <v>0</v>
      </c>
      <c r="E27" s="97">
        <f>'シフト2'!K122</f>
        <v>0</v>
      </c>
      <c r="F27" s="97">
        <f t="shared" si="1"/>
        <v>0</v>
      </c>
      <c r="G27" s="13">
        <f t="shared" si="5"/>
        <v>1567000</v>
      </c>
      <c r="H27" s="13">
        <v>80000.0</v>
      </c>
      <c r="I27" s="13">
        <f t="shared" si="6"/>
        <v>1920000</v>
      </c>
      <c r="J27" s="14">
        <f t="shared" si="2"/>
        <v>0.8161458333</v>
      </c>
      <c r="K27" s="15">
        <f t="shared" si="3"/>
        <v>-353000</v>
      </c>
      <c r="L27" s="17" t="str">
        <f t="shared" si="4"/>
        <v>#DIV/0!</v>
      </c>
      <c r="M27" s="11">
        <f>'シフト2'!N121</f>
        <v>0</v>
      </c>
      <c r="N27" s="11">
        <f>'シフト2'!O121</f>
        <v>0</v>
      </c>
      <c r="O27" s="11">
        <f>'シフト2'!P121</f>
        <v>0</v>
      </c>
    </row>
    <row r="28" ht="13.5" customHeight="1">
      <c r="B28" s="10">
        <f>'【大井町】売上'!B28</f>
        <v>46078</v>
      </c>
      <c r="C28" s="11" t="str">
        <f>'【大井町】売上'!C28</f>
        <v>水</v>
      </c>
      <c r="D28" s="12">
        <f>'シフト2'!J127</f>
        <v>0</v>
      </c>
      <c r="E28" s="97">
        <f>'シフト2'!K127</f>
        <v>0</v>
      </c>
      <c r="F28" s="97">
        <f t="shared" si="1"/>
        <v>0</v>
      </c>
      <c r="G28" s="13">
        <f t="shared" si="5"/>
        <v>1567000</v>
      </c>
      <c r="H28" s="13">
        <v>80000.0</v>
      </c>
      <c r="I28" s="13">
        <f t="shared" si="6"/>
        <v>2000000</v>
      </c>
      <c r="J28" s="14">
        <f t="shared" si="2"/>
        <v>0.7835</v>
      </c>
      <c r="K28" s="15">
        <f t="shared" si="3"/>
        <v>-433000</v>
      </c>
      <c r="L28" s="17" t="str">
        <f t="shared" si="4"/>
        <v>#DIV/0!</v>
      </c>
      <c r="M28" s="11">
        <f>'シフト2'!N126</f>
        <v>0</v>
      </c>
      <c r="N28" s="11">
        <f>'シフト2'!O126</f>
        <v>0</v>
      </c>
      <c r="O28" s="11">
        <f>'シフト2'!P126</f>
        <v>0</v>
      </c>
    </row>
    <row r="29" ht="13.5" customHeight="1">
      <c r="B29" s="10">
        <f>'【大井町】売上'!B29</f>
        <v>46079</v>
      </c>
      <c r="C29" s="11" t="str">
        <f>'【大井町】売上'!C29</f>
        <v>木</v>
      </c>
      <c r="D29" s="12">
        <f>'シフト2'!J132</f>
        <v>0</v>
      </c>
      <c r="E29" s="97">
        <f>'シフト2'!K132</f>
        <v>0</v>
      </c>
      <c r="F29" s="97">
        <f t="shared" si="1"/>
        <v>0</v>
      </c>
      <c r="G29" s="13">
        <f t="shared" si="5"/>
        <v>1567000</v>
      </c>
      <c r="H29" s="13">
        <v>80000.0</v>
      </c>
      <c r="I29" s="13">
        <f t="shared" si="6"/>
        <v>2080000</v>
      </c>
      <c r="J29" s="14">
        <f t="shared" si="2"/>
        <v>0.7533653846</v>
      </c>
      <c r="K29" s="15">
        <f t="shared" si="3"/>
        <v>-513000</v>
      </c>
      <c r="L29" s="17" t="str">
        <f t="shared" si="4"/>
        <v>#DIV/0!</v>
      </c>
      <c r="M29" s="11">
        <f>'シフト2'!N131</f>
        <v>0</v>
      </c>
      <c r="N29" s="11">
        <f>'シフト2'!O131</f>
        <v>0</v>
      </c>
      <c r="O29" s="11">
        <f>'シフト2'!P131</f>
        <v>0</v>
      </c>
    </row>
    <row r="30" ht="13.5" customHeight="1">
      <c r="B30" s="10">
        <f>'【大井町】売上'!B30</f>
        <v>46080</v>
      </c>
      <c r="C30" s="11" t="str">
        <f>'【大井町】売上'!C30</f>
        <v>金</v>
      </c>
      <c r="D30" s="12">
        <f>'シフト2'!J137</f>
        <v>0</v>
      </c>
      <c r="E30" s="97">
        <f>'シフト2'!K137</f>
        <v>0</v>
      </c>
      <c r="F30" s="97">
        <f t="shared" si="1"/>
        <v>0</v>
      </c>
      <c r="G30" s="13">
        <f t="shared" si="5"/>
        <v>1567000</v>
      </c>
      <c r="H30" s="13">
        <v>80000.0</v>
      </c>
      <c r="I30" s="13">
        <f t="shared" si="6"/>
        <v>2160000</v>
      </c>
      <c r="J30" s="14">
        <f t="shared" si="2"/>
        <v>0.725462963</v>
      </c>
      <c r="K30" s="15">
        <f t="shared" si="3"/>
        <v>-593000</v>
      </c>
      <c r="L30" s="17" t="str">
        <f t="shared" si="4"/>
        <v>#DIV/0!</v>
      </c>
      <c r="M30" s="11">
        <f>'シフト2'!N136</f>
        <v>0</v>
      </c>
      <c r="N30" s="11">
        <f>'シフト2'!O136</f>
        <v>0</v>
      </c>
      <c r="O30" s="11">
        <f>'シフト2'!P136</f>
        <v>0</v>
      </c>
    </row>
    <row r="31" ht="13.5" customHeight="1">
      <c r="A31" s="35"/>
      <c r="B31" s="10">
        <f>'【大井町】売上'!B31</f>
        <v>46081</v>
      </c>
      <c r="C31" s="11" t="str">
        <f>'【大井町】売上'!C31</f>
        <v>土</v>
      </c>
      <c r="D31" s="12">
        <f>'シフト2'!J142</f>
        <v>0</v>
      </c>
      <c r="E31" s="97">
        <f>'シフト2'!K142</f>
        <v>0</v>
      </c>
      <c r="F31" s="97">
        <f t="shared" si="1"/>
        <v>0</v>
      </c>
      <c r="G31" s="13">
        <f t="shared" si="5"/>
        <v>1567000</v>
      </c>
      <c r="H31" s="13">
        <v>80000.0</v>
      </c>
      <c r="I31" s="13">
        <f t="shared" si="6"/>
        <v>2240000</v>
      </c>
      <c r="J31" s="14">
        <f t="shared" si="2"/>
        <v>0.6995535714</v>
      </c>
      <c r="K31" s="15">
        <f t="shared" si="3"/>
        <v>-673000</v>
      </c>
      <c r="L31" s="17" t="str">
        <f t="shared" si="4"/>
        <v>#DIV/0!</v>
      </c>
      <c r="M31" s="11">
        <f>'シフト2'!N141</f>
        <v>0</v>
      </c>
      <c r="N31" s="11">
        <f>'シフト2'!O141</f>
        <v>0</v>
      </c>
      <c r="O31" s="11">
        <f>'シフト2'!P141</f>
        <v>0</v>
      </c>
    </row>
    <row r="32" ht="13.5" customHeight="1">
      <c r="A32" s="35">
        <f>SUM(D25:D31)</f>
        <v>66000</v>
      </c>
      <c r="B32" s="10" t="str">
        <f>'【大井町】売上'!B32</f>
        <v/>
      </c>
      <c r="C32" s="11" t="str">
        <f>'【大井町】売上'!C32</f>
        <v/>
      </c>
      <c r="D32" s="12">
        <f>'シフト2'!J147</f>
        <v>0</v>
      </c>
      <c r="E32" s="97">
        <f>'シフト2'!K147</f>
        <v>0</v>
      </c>
      <c r="F32" s="97">
        <f t="shared" si="1"/>
        <v>0</v>
      </c>
      <c r="G32" s="13">
        <f t="shared" si="5"/>
        <v>1567000</v>
      </c>
      <c r="H32" s="13">
        <v>80000.0</v>
      </c>
      <c r="I32" s="13">
        <f t="shared" si="6"/>
        <v>2320000</v>
      </c>
      <c r="J32" s="14">
        <f t="shared" si="2"/>
        <v>0.6754310345</v>
      </c>
      <c r="K32" s="15">
        <f t="shared" si="3"/>
        <v>-753000</v>
      </c>
      <c r="L32" s="17" t="str">
        <f t="shared" si="4"/>
        <v>#DIV/0!</v>
      </c>
      <c r="M32" s="11">
        <f>'シフト2'!N146</f>
        <v>0</v>
      </c>
      <c r="N32" s="11">
        <f>'シフト2'!O146</f>
        <v>0</v>
      </c>
      <c r="O32" s="11">
        <f>'シフト2'!P146</f>
        <v>0</v>
      </c>
    </row>
    <row r="33" ht="13.5" customHeight="1">
      <c r="A33" s="35">
        <f>SUM(D27:D33)</f>
        <v>0</v>
      </c>
      <c r="B33" s="10" t="str">
        <f>'【大井町】売上'!B33</f>
        <v/>
      </c>
      <c r="C33" s="11" t="str">
        <f>'【大井町】売上'!C33</f>
        <v/>
      </c>
      <c r="D33" s="33">
        <f>'シフト2'!J152</f>
        <v>0</v>
      </c>
      <c r="E33" s="33">
        <f>'シフト2'!K152</f>
        <v>0</v>
      </c>
      <c r="F33" s="33">
        <f t="shared" si="1"/>
        <v>0</v>
      </c>
      <c r="G33" s="13">
        <f t="shared" si="5"/>
        <v>1567000</v>
      </c>
      <c r="H33" s="13">
        <v>80000.0</v>
      </c>
      <c r="I33" s="13">
        <f t="shared" si="6"/>
        <v>2400000</v>
      </c>
      <c r="J33" s="14">
        <f t="shared" si="2"/>
        <v>0.6529166667</v>
      </c>
      <c r="K33" s="15">
        <f t="shared" si="3"/>
        <v>-833000</v>
      </c>
      <c r="L33" s="16" t="str">
        <f t="shared" si="4"/>
        <v>#DIV/0!</v>
      </c>
      <c r="M33" s="11">
        <f>'シフト2'!N151</f>
        <v>0</v>
      </c>
      <c r="N33" s="11">
        <f>'シフト2'!O151</f>
        <v>0</v>
      </c>
      <c r="O33" s="11">
        <f>'シフト2'!P151</f>
        <v>0</v>
      </c>
    </row>
    <row r="34" ht="13.5" customHeight="1">
      <c r="B34" s="10" t="str">
        <f>'【大井町】売上'!B34</f>
        <v/>
      </c>
      <c r="C34" s="11" t="str">
        <f>'【大井町】売上'!C34</f>
        <v/>
      </c>
      <c r="D34" s="33">
        <f>'シフト2'!J157</f>
        <v>0</v>
      </c>
      <c r="E34" s="33">
        <f>'シフト2'!K157</f>
        <v>0</v>
      </c>
      <c r="F34" s="33">
        <f t="shared" si="1"/>
        <v>0</v>
      </c>
      <c r="G34" s="13">
        <f>G33+D34</f>
        <v>1567000</v>
      </c>
      <c r="H34" s="13">
        <v>80000.0</v>
      </c>
      <c r="I34" s="13">
        <f t="shared" si="6"/>
        <v>2480000</v>
      </c>
      <c r="J34" s="14">
        <f t="shared" si="2"/>
        <v>0.6318548387</v>
      </c>
      <c r="K34" s="15">
        <f t="shared" si="3"/>
        <v>-913000</v>
      </c>
      <c r="L34" s="16" t="str">
        <f t="shared" si="4"/>
        <v>#DIV/0!</v>
      </c>
      <c r="M34" s="11">
        <f>'シフト2'!N156</f>
        <v>0</v>
      </c>
      <c r="N34" s="11">
        <f>'シフト2'!O156</f>
        <v>0</v>
      </c>
      <c r="O34" s="11">
        <f>'シフト2'!P156</f>
        <v>0</v>
      </c>
    </row>
    <row r="35" ht="13.5" customHeight="1">
      <c r="B35" s="18" t="s">
        <v>10</v>
      </c>
      <c r="C35" s="18"/>
      <c r="D35" s="19">
        <f t="shared" ref="D35:E35" si="7">SUM(D4:D34)</f>
        <v>1567000</v>
      </c>
      <c r="E35" s="19">
        <f t="shared" si="7"/>
        <v>881853</v>
      </c>
      <c r="F35" s="19">
        <f>SUM(D35-E35)</f>
        <v>685147</v>
      </c>
      <c r="G35" s="13">
        <f>SUM(G34)</f>
        <v>1567000</v>
      </c>
      <c r="H35" s="13">
        <f>SUM(H4:H34)</f>
        <v>2480000</v>
      </c>
      <c r="I35" s="13">
        <f>H35</f>
        <v>2480000</v>
      </c>
      <c r="J35" s="13"/>
      <c r="K35" s="20">
        <v>0.0</v>
      </c>
      <c r="L35" s="21">
        <f>AVERAGEIF(L4:L34,"&lt;&gt;#DIV/0!")</f>
        <v>16325.39683</v>
      </c>
      <c r="M35" s="11">
        <f>SUM(M4:M33)</f>
        <v>18</v>
      </c>
      <c r="N35" s="11">
        <f t="shared" ref="N35:O35" si="8">SUM(N4:N34)</f>
        <v>62</v>
      </c>
      <c r="O35" s="11">
        <f t="shared" si="8"/>
        <v>16</v>
      </c>
    </row>
    <row r="36" ht="13.5" customHeight="1">
      <c r="L36" s="41"/>
      <c r="M36" s="41">
        <f>M35/(M35+N35+O35)</f>
        <v>0.1875</v>
      </c>
      <c r="N36" s="41">
        <f>N35/(M35+N35+O35)</f>
        <v>0.6458333333</v>
      </c>
      <c r="O36" s="34">
        <f>O35/(M35+N35+O35)</f>
        <v>0.1666666667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2:C2"/>
  </mergeCells>
  <printOptions/>
  <pageMargins bottom="0.75" footer="0.0" header="0.0" left="0.7" right="0.7" top="0.75"/>
  <pageSetup scale="11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.29"/>
    <col customWidth="1" min="3" max="3" width="8.71"/>
    <col customWidth="1" min="4" max="4" width="10.71"/>
    <col customWidth="1" min="5" max="7" width="8.71"/>
    <col customWidth="1" min="8" max="8" width="3.29"/>
    <col customWidth="1" min="9" max="9" width="8.71"/>
    <col customWidth="1" min="10" max="12" width="10.71"/>
    <col customWidth="1" min="13" max="26" width="8.71"/>
  </cols>
  <sheetData>
    <row r="1" ht="35.25" customHeight="1">
      <c r="A1" s="99"/>
      <c r="B1" s="100"/>
      <c r="C1" s="99"/>
      <c r="D1" s="101" t="s">
        <v>30</v>
      </c>
      <c r="E1" s="102"/>
      <c r="F1" s="102"/>
      <c r="G1" s="102"/>
      <c r="H1" s="103" t="s">
        <v>31</v>
      </c>
      <c r="J1" s="102"/>
      <c r="K1" s="102"/>
      <c r="L1" s="43"/>
      <c r="M1" s="43"/>
      <c r="N1" s="43"/>
      <c r="O1" s="43"/>
      <c r="P1" s="43"/>
      <c r="Q1" s="43"/>
      <c r="R1" s="43"/>
    </row>
    <row r="2" ht="13.5" customHeight="1">
      <c r="A2" s="99"/>
      <c r="B2" s="99"/>
      <c r="C2" s="99"/>
      <c r="D2" s="102"/>
      <c r="E2" s="102" t="s">
        <v>25</v>
      </c>
      <c r="F2" s="102" t="s">
        <v>3</v>
      </c>
      <c r="G2" s="102" t="s">
        <v>4</v>
      </c>
      <c r="H2" s="102"/>
      <c r="I2" s="102"/>
      <c r="J2" s="102" t="s">
        <v>25</v>
      </c>
      <c r="K2" s="102" t="s">
        <v>3</v>
      </c>
      <c r="L2" s="102" t="s">
        <v>4</v>
      </c>
      <c r="M2" s="43"/>
      <c r="N2" s="43"/>
      <c r="O2" s="43"/>
      <c r="P2" s="43"/>
      <c r="Q2" s="43"/>
      <c r="R2" s="43"/>
    </row>
    <row r="3" ht="16.5" customHeight="1">
      <c r="A3" s="46">
        <v>1.0</v>
      </c>
      <c r="B3" s="104" t="str">
        <f>'【大井町】売上'!C4</f>
        <v>日</v>
      </c>
      <c r="C3" s="105" t="s">
        <v>26</v>
      </c>
      <c r="D3" s="49" t="str">
        <f>'管理シフト'!J6</f>
        <v>やすの</v>
      </c>
      <c r="E3" s="50"/>
      <c r="F3" s="51"/>
      <c r="G3" s="52">
        <f>E3-F3</f>
        <v>0</v>
      </c>
      <c r="H3" s="53"/>
      <c r="I3" s="49" t="str">
        <f>'管理シフト'!M6</f>
        <v>まな</v>
      </c>
      <c r="J3" s="106"/>
      <c r="K3" s="107"/>
      <c r="L3" s="108">
        <f>J3-K3</f>
        <v>0</v>
      </c>
      <c r="M3" s="43"/>
      <c r="N3" s="43"/>
      <c r="O3" s="43"/>
      <c r="P3" s="43"/>
      <c r="Q3" s="43"/>
      <c r="R3" s="43"/>
    </row>
    <row r="4" ht="13.5" customHeight="1">
      <c r="A4" s="55"/>
      <c r="B4" s="56"/>
      <c r="C4" s="109"/>
      <c r="D4" s="110" t="s">
        <v>27</v>
      </c>
      <c r="E4" s="59"/>
      <c r="F4" s="59"/>
      <c r="G4" s="60"/>
      <c r="H4" s="53"/>
      <c r="I4" s="110" t="s">
        <v>27</v>
      </c>
      <c r="J4" s="59"/>
      <c r="K4" s="59"/>
      <c r="L4" s="60"/>
      <c r="M4" s="43"/>
      <c r="N4" s="43"/>
      <c r="O4" s="43"/>
      <c r="P4" s="43"/>
      <c r="Q4" s="43"/>
      <c r="R4" s="43"/>
    </row>
    <row r="5" ht="16.5" customHeight="1">
      <c r="A5" s="55"/>
      <c r="B5" s="56"/>
      <c r="C5" s="105" t="s">
        <v>28</v>
      </c>
      <c r="D5" s="62" t="str">
        <f>'管理シフト'!J7</f>
        <v>ののは</v>
      </c>
      <c r="E5" s="50"/>
      <c r="F5" s="51"/>
      <c r="G5" s="52">
        <f>E5-F5</f>
        <v>0</v>
      </c>
      <c r="H5" s="53"/>
      <c r="I5" s="62" t="str">
        <f>'管理シフト'!M7</f>
        <v/>
      </c>
      <c r="J5" s="106"/>
      <c r="K5" s="107"/>
      <c r="L5" s="108">
        <f>J5-K5</f>
        <v>0</v>
      </c>
      <c r="M5" s="43"/>
      <c r="N5" s="54" t="s">
        <v>13</v>
      </c>
      <c r="O5" s="54" t="s">
        <v>14</v>
      </c>
      <c r="P5" s="54" t="s">
        <v>15</v>
      </c>
      <c r="Q5" s="43"/>
      <c r="R5" s="43"/>
    </row>
    <row r="6" ht="13.5" customHeight="1">
      <c r="A6" s="63"/>
      <c r="B6" s="64"/>
      <c r="C6" s="109"/>
      <c r="D6" s="110" t="s">
        <v>27</v>
      </c>
      <c r="E6" s="59"/>
      <c r="F6" s="59"/>
      <c r="G6" s="60"/>
      <c r="H6" s="53"/>
      <c r="I6" s="110" t="s">
        <v>27</v>
      </c>
      <c r="J6" s="59"/>
      <c r="K6" s="59"/>
      <c r="L6" s="60"/>
      <c r="M6" s="43"/>
      <c r="N6" s="43">
        <f t="shared" ref="N6:P6" si="1">E4+E6+J4+J6</f>
        <v>0</v>
      </c>
      <c r="O6" s="43">
        <f t="shared" si="1"/>
        <v>0</v>
      </c>
      <c r="P6" s="43">
        <f t="shared" si="1"/>
        <v>0</v>
      </c>
      <c r="Q6" s="43"/>
      <c r="R6" s="43"/>
    </row>
    <row r="7" ht="13.5" customHeight="1">
      <c r="A7" s="43"/>
      <c r="B7" s="111"/>
      <c r="C7" s="69"/>
      <c r="D7" s="66"/>
      <c r="E7" s="67"/>
      <c r="F7" s="67"/>
      <c r="G7" s="53"/>
      <c r="H7" s="53"/>
      <c r="I7" s="112"/>
      <c r="J7" s="113">
        <f t="shared" ref="J7:K7" si="2">E3+E5+J3+J5</f>
        <v>0</v>
      </c>
      <c r="K7" s="113">
        <f t="shared" si="2"/>
        <v>0</v>
      </c>
      <c r="L7" s="113">
        <f>SUM(G3+G5+L3+L5+Q3+Q5)</f>
        <v>0</v>
      </c>
      <c r="M7" s="43"/>
      <c r="N7" s="43"/>
      <c r="O7" s="43"/>
      <c r="P7" s="43"/>
      <c r="Q7" s="43"/>
      <c r="R7" s="43"/>
    </row>
    <row r="8" ht="16.5" customHeight="1">
      <c r="A8" s="46">
        <v>2.0</v>
      </c>
      <c r="B8" s="114" t="str">
        <f>'【大井町】売上'!C5</f>
        <v>月</v>
      </c>
      <c r="C8" s="105" t="s">
        <v>26</v>
      </c>
      <c r="D8" s="49" t="str">
        <f>'管理シフト'!J9</f>
        <v/>
      </c>
      <c r="E8" s="50">
        <v>43000.0</v>
      </c>
      <c r="F8" s="51">
        <v>25000.0</v>
      </c>
      <c r="G8" s="52">
        <f>E8-F8</f>
        <v>18000</v>
      </c>
      <c r="H8" s="53"/>
      <c r="I8" s="49" t="str">
        <f>'管理シフト'!M9</f>
        <v>ちひろ</v>
      </c>
      <c r="J8" s="106">
        <v>39000.0</v>
      </c>
      <c r="K8" s="107">
        <v>19500.0</v>
      </c>
      <c r="L8" s="108">
        <f>J8-K8</f>
        <v>19500</v>
      </c>
      <c r="M8" s="43"/>
      <c r="N8" s="43"/>
      <c r="O8" s="43"/>
      <c r="P8" s="43"/>
      <c r="Q8" s="43"/>
      <c r="R8" s="43"/>
    </row>
    <row r="9" ht="13.5" customHeight="1">
      <c r="A9" s="55"/>
      <c r="B9" s="56"/>
      <c r="C9" s="109"/>
      <c r="D9" s="110" t="s">
        <v>27</v>
      </c>
      <c r="E9" s="59">
        <v>0.0</v>
      </c>
      <c r="F9" s="59">
        <v>1.0</v>
      </c>
      <c r="G9" s="60">
        <v>2.0</v>
      </c>
      <c r="H9" s="53"/>
      <c r="I9" s="110" t="s">
        <v>27</v>
      </c>
      <c r="J9" s="59">
        <v>1.0</v>
      </c>
      <c r="K9" s="59">
        <v>1.0</v>
      </c>
      <c r="L9" s="60">
        <v>0.0</v>
      </c>
      <c r="M9" s="43"/>
      <c r="N9" s="43"/>
      <c r="O9" s="43"/>
      <c r="P9" s="43"/>
      <c r="Q9" s="43"/>
      <c r="R9" s="43"/>
    </row>
    <row r="10" ht="16.5" customHeight="1">
      <c r="A10" s="55"/>
      <c r="B10" s="56"/>
      <c r="C10" s="105" t="s">
        <v>28</v>
      </c>
      <c r="D10" s="62" t="str">
        <f>'管理シフト'!J10</f>
        <v>しおん</v>
      </c>
      <c r="E10" s="50"/>
      <c r="F10" s="51"/>
      <c r="G10" s="52">
        <f>E10-F10</f>
        <v>0</v>
      </c>
      <c r="H10" s="53"/>
      <c r="I10" s="62" t="str">
        <f>'管理シフト'!M10</f>
        <v>えりか</v>
      </c>
      <c r="J10" s="106"/>
      <c r="K10" s="107"/>
      <c r="L10" s="108">
        <f>J10-K10</f>
        <v>0</v>
      </c>
      <c r="M10" s="43"/>
      <c r="N10" s="54"/>
      <c r="O10" s="54" t="s">
        <v>14</v>
      </c>
      <c r="P10" s="54" t="s">
        <v>15</v>
      </c>
      <c r="Q10" s="43"/>
      <c r="R10" s="43"/>
    </row>
    <row r="11" ht="13.5" customHeight="1">
      <c r="A11" s="63"/>
      <c r="B11" s="64"/>
      <c r="C11" s="109"/>
      <c r="D11" s="110" t="s">
        <v>27</v>
      </c>
      <c r="E11" s="59"/>
      <c r="F11" s="59"/>
      <c r="G11" s="60"/>
      <c r="H11" s="53"/>
      <c r="I11" s="110" t="s">
        <v>27</v>
      </c>
      <c r="J11" s="59"/>
      <c r="K11" s="59"/>
      <c r="L11" s="60"/>
      <c r="M11" s="43"/>
      <c r="N11" s="43">
        <f t="shared" ref="N11:P11" si="3">E9+E11+J9+J11</f>
        <v>1</v>
      </c>
      <c r="O11" s="43">
        <f t="shared" si="3"/>
        <v>2</v>
      </c>
      <c r="P11" s="43">
        <f t="shared" si="3"/>
        <v>2</v>
      </c>
      <c r="Q11" s="43"/>
      <c r="R11" s="43"/>
    </row>
    <row r="12" ht="13.5" customHeight="1">
      <c r="A12" s="43"/>
      <c r="B12" s="111"/>
      <c r="C12" s="69"/>
      <c r="D12" s="73"/>
      <c r="E12" s="67"/>
      <c r="F12" s="67"/>
      <c r="G12" s="53"/>
      <c r="H12" s="53"/>
      <c r="I12" s="112"/>
      <c r="J12" s="113">
        <f t="shared" ref="J12:K12" si="4">E8+E10+J8+J10</f>
        <v>82000</v>
      </c>
      <c r="K12" s="113">
        <f t="shared" si="4"/>
        <v>44500</v>
      </c>
      <c r="L12" s="113">
        <f>SUM(G8+G10+L8+L10+Q8+Q10)</f>
        <v>37500</v>
      </c>
      <c r="M12" s="43"/>
      <c r="N12" s="43"/>
      <c r="O12" s="43"/>
      <c r="P12" s="43"/>
      <c r="Q12" s="43"/>
      <c r="R12" s="43"/>
    </row>
    <row r="13" ht="16.5" customHeight="1">
      <c r="A13" s="46">
        <v>3.0</v>
      </c>
      <c r="B13" s="114" t="str">
        <f>'【大井町】売上'!C6</f>
        <v>火</v>
      </c>
      <c r="C13" s="105" t="s">
        <v>26</v>
      </c>
      <c r="D13" s="49" t="str">
        <f>'管理シフト'!J12</f>
        <v>ますみ</v>
      </c>
      <c r="E13" s="50">
        <v>20000.0</v>
      </c>
      <c r="F13" s="51">
        <v>11000.0</v>
      </c>
      <c r="G13" s="52">
        <f>E13-F13</f>
        <v>9000</v>
      </c>
      <c r="H13" s="53"/>
      <c r="I13" s="49" t="str">
        <f>'管理シフト'!M12</f>
        <v>てるみ</v>
      </c>
      <c r="J13" s="106">
        <v>0.0</v>
      </c>
      <c r="K13" s="107">
        <v>0.0</v>
      </c>
      <c r="L13" s="108">
        <f>J13-K13</f>
        <v>0</v>
      </c>
      <c r="M13" s="43"/>
      <c r="N13" s="43"/>
      <c r="O13" s="43"/>
      <c r="P13" s="43"/>
      <c r="Q13" s="43"/>
      <c r="R13" s="43"/>
      <c r="S13" s="34" t="s">
        <v>32</v>
      </c>
    </row>
    <row r="14" ht="13.5" customHeight="1">
      <c r="A14" s="55"/>
      <c r="B14" s="56"/>
      <c r="C14" s="109"/>
      <c r="D14" s="110" t="s">
        <v>27</v>
      </c>
      <c r="E14" s="59">
        <v>0.0</v>
      </c>
      <c r="F14" s="59">
        <v>1.0</v>
      </c>
      <c r="G14" s="60">
        <v>0.0</v>
      </c>
      <c r="H14" s="53"/>
      <c r="I14" s="110" t="s">
        <v>27</v>
      </c>
      <c r="J14" s="59"/>
      <c r="K14" s="59"/>
      <c r="L14" s="60"/>
      <c r="M14" s="43"/>
      <c r="N14" s="43"/>
      <c r="O14" s="43"/>
      <c r="P14" s="43"/>
      <c r="Q14" s="43"/>
      <c r="R14" s="43"/>
    </row>
    <row r="15" ht="16.5" customHeight="1">
      <c r="A15" s="55"/>
      <c r="B15" s="56"/>
      <c r="C15" s="105" t="s">
        <v>28</v>
      </c>
      <c r="D15" s="62" t="str">
        <f>'管理シフト'!J13</f>
        <v>すみれ</v>
      </c>
      <c r="E15" s="50">
        <v>40000.0</v>
      </c>
      <c r="F15" s="51">
        <v>23000.0</v>
      </c>
      <c r="G15" s="52">
        <f>E15-F15</f>
        <v>17000</v>
      </c>
      <c r="H15" s="53"/>
      <c r="I15" s="62" t="str">
        <f>'管理シフト'!M13</f>
        <v/>
      </c>
      <c r="J15" s="106"/>
      <c r="K15" s="107"/>
      <c r="L15" s="108">
        <f>J15-K15</f>
        <v>0</v>
      </c>
      <c r="M15" s="43"/>
      <c r="N15" s="54" t="s">
        <v>13</v>
      </c>
      <c r="O15" s="54" t="s">
        <v>14</v>
      </c>
      <c r="P15" s="54" t="s">
        <v>15</v>
      </c>
      <c r="Q15" s="43"/>
      <c r="R15" s="43"/>
    </row>
    <row r="16" ht="13.5" customHeight="1">
      <c r="A16" s="63"/>
      <c r="B16" s="64"/>
      <c r="C16" s="109"/>
      <c r="D16" s="110" t="s">
        <v>27</v>
      </c>
      <c r="E16" s="59">
        <v>0.0</v>
      </c>
      <c r="F16" s="59">
        <v>3.0</v>
      </c>
      <c r="G16" s="60">
        <v>0.0</v>
      </c>
      <c r="H16" s="53"/>
      <c r="I16" s="110" t="s">
        <v>27</v>
      </c>
      <c r="J16" s="59"/>
      <c r="K16" s="59"/>
      <c r="L16" s="60"/>
      <c r="M16" s="43"/>
      <c r="N16" s="43">
        <f t="shared" ref="N16:P16" si="5">E14+E16+J14+J16</f>
        <v>0</v>
      </c>
      <c r="O16" s="43">
        <f t="shared" si="5"/>
        <v>4</v>
      </c>
      <c r="P16" s="43">
        <f t="shared" si="5"/>
        <v>0</v>
      </c>
      <c r="Q16" s="43"/>
      <c r="R16" s="43"/>
    </row>
    <row r="17" ht="13.5" customHeight="1">
      <c r="A17" s="43"/>
      <c r="B17" s="111"/>
      <c r="C17" s="69"/>
      <c r="D17" s="73"/>
      <c r="E17" s="67"/>
      <c r="F17" s="67"/>
      <c r="G17" s="53"/>
      <c r="H17" s="53"/>
      <c r="I17" s="112"/>
      <c r="J17" s="113">
        <f t="shared" ref="J17:K17" si="6">E13+E15+J13+J15</f>
        <v>60000</v>
      </c>
      <c r="K17" s="113">
        <f t="shared" si="6"/>
        <v>34000</v>
      </c>
      <c r="L17" s="113">
        <f>SUM(G13+G15+L13+L15+Q13+Q15)</f>
        <v>26000</v>
      </c>
      <c r="M17" s="43"/>
      <c r="N17" s="43"/>
      <c r="O17" s="43"/>
      <c r="P17" s="43"/>
      <c r="Q17" s="43"/>
      <c r="R17" s="43"/>
    </row>
    <row r="18" ht="16.5" customHeight="1">
      <c r="A18" s="46">
        <v>4.0</v>
      </c>
      <c r="B18" s="114" t="str">
        <f>'【大井町】売上'!C7</f>
        <v>水</v>
      </c>
      <c r="C18" s="105" t="s">
        <v>26</v>
      </c>
      <c r="D18" s="49" t="str">
        <f>'管理シフト'!J15</f>
        <v>ゆかり</v>
      </c>
      <c r="E18" s="50">
        <v>36000.0</v>
      </c>
      <c r="F18" s="51">
        <v>22000.0</v>
      </c>
      <c r="G18" s="52">
        <f>E18-F18</f>
        <v>14000</v>
      </c>
      <c r="H18" s="53"/>
      <c r="I18" s="49" t="str">
        <f>'管理シフト'!M15</f>
        <v>くれは</v>
      </c>
      <c r="J18" s="106"/>
      <c r="K18" s="107"/>
      <c r="L18" s="108">
        <f>J18-K18</f>
        <v>0</v>
      </c>
      <c r="M18" s="43"/>
      <c r="N18" s="43"/>
      <c r="O18" s="43"/>
      <c r="P18" s="43"/>
      <c r="Q18" s="43"/>
      <c r="R18" s="43"/>
    </row>
    <row r="19" ht="13.5" customHeight="1">
      <c r="A19" s="55"/>
      <c r="B19" s="56"/>
      <c r="C19" s="109"/>
      <c r="D19" s="110"/>
      <c r="E19" s="59">
        <v>0.0</v>
      </c>
      <c r="F19" s="59">
        <v>2.0</v>
      </c>
      <c r="G19" s="60">
        <v>0.0</v>
      </c>
      <c r="H19" s="53"/>
      <c r="I19" s="110" t="s">
        <v>27</v>
      </c>
      <c r="J19" s="59"/>
      <c r="K19" s="59"/>
      <c r="L19" s="60"/>
      <c r="M19" s="43"/>
      <c r="N19" s="43"/>
      <c r="O19" s="43"/>
      <c r="P19" s="43"/>
      <c r="Q19" s="43"/>
      <c r="R19" s="43"/>
      <c r="V19" s="34"/>
    </row>
    <row r="20" ht="16.5" customHeight="1">
      <c r="A20" s="55"/>
      <c r="B20" s="56"/>
      <c r="C20" s="105" t="s">
        <v>28</v>
      </c>
      <c r="D20" s="49" t="str">
        <f>'管理シフト'!J16</f>
        <v>えみり</v>
      </c>
      <c r="E20" s="50"/>
      <c r="F20" s="51"/>
      <c r="G20" s="52">
        <f>E20-F20</f>
        <v>0</v>
      </c>
      <c r="H20" s="53"/>
      <c r="I20" s="62" t="str">
        <f>'管理シフト'!M16</f>
        <v/>
      </c>
      <c r="J20" s="106">
        <v>26000.0</v>
      </c>
      <c r="K20" s="107">
        <v>13000.0</v>
      </c>
      <c r="L20" s="108">
        <f>J20-K20</f>
        <v>13000</v>
      </c>
      <c r="M20" s="43"/>
      <c r="N20" s="54" t="s">
        <v>13</v>
      </c>
      <c r="O20" s="54" t="s">
        <v>14</v>
      </c>
      <c r="P20" s="54" t="s">
        <v>15</v>
      </c>
      <c r="Q20" s="43"/>
      <c r="R20" s="43"/>
      <c r="V20" s="34"/>
    </row>
    <row r="21" ht="13.5" customHeight="1">
      <c r="A21" s="63"/>
      <c r="B21" s="64"/>
      <c r="C21" s="109"/>
      <c r="D21" s="110" t="s">
        <v>27</v>
      </c>
      <c r="E21" s="59"/>
      <c r="F21" s="59"/>
      <c r="G21" s="60"/>
      <c r="H21" s="53"/>
      <c r="I21" s="110" t="s">
        <v>27</v>
      </c>
      <c r="J21" s="59">
        <v>1.0</v>
      </c>
      <c r="K21" s="59">
        <v>1.0</v>
      </c>
      <c r="L21" s="60">
        <v>0.0</v>
      </c>
      <c r="M21" s="43"/>
      <c r="N21" s="43">
        <f t="shared" ref="N21:P21" si="7">E19+E21+J19+J21</f>
        <v>1</v>
      </c>
      <c r="O21" s="43">
        <f t="shared" si="7"/>
        <v>3</v>
      </c>
      <c r="P21" s="43">
        <f t="shared" si="7"/>
        <v>0</v>
      </c>
      <c r="Q21" s="43"/>
      <c r="R21" s="43"/>
    </row>
    <row r="22" ht="13.5" customHeight="1">
      <c r="A22" s="43"/>
      <c r="B22" s="111"/>
      <c r="C22" s="69"/>
      <c r="D22" s="73"/>
      <c r="E22" s="67"/>
      <c r="F22" s="67"/>
      <c r="G22" s="53"/>
      <c r="H22" s="53"/>
      <c r="I22" s="112"/>
      <c r="J22" s="113">
        <f t="shared" ref="J22:K22" si="8">E18+E20+J18+J20</f>
        <v>62000</v>
      </c>
      <c r="K22" s="113">
        <f t="shared" si="8"/>
        <v>35000</v>
      </c>
      <c r="L22" s="113">
        <f>SUM(G18+G20+L18+L20+Q18+Q20)</f>
        <v>27000</v>
      </c>
      <c r="M22" s="43"/>
      <c r="N22" s="43"/>
      <c r="O22" s="43"/>
      <c r="P22" s="43"/>
      <c r="Q22" s="43"/>
      <c r="R22" s="43"/>
    </row>
    <row r="23" ht="16.5" customHeight="1">
      <c r="A23" s="46">
        <v>5.0</v>
      </c>
      <c r="B23" s="70" t="str">
        <f>'【大井町】売上'!C8</f>
        <v>木</v>
      </c>
      <c r="C23" s="105" t="s">
        <v>26</v>
      </c>
      <c r="D23" s="49" t="str">
        <f>'管理シフト'!J18</f>
        <v>てるみ</v>
      </c>
      <c r="E23" s="50">
        <v>30000.0</v>
      </c>
      <c r="F23" s="51">
        <v>17000.0</v>
      </c>
      <c r="G23" s="52">
        <f>E23-F23</f>
        <v>13000</v>
      </c>
      <c r="H23" s="53"/>
      <c r="I23" s="49" t="str">
        <f>'管理シフト'!M18</f>
        <v>ちひろ</v>
      </c>
      <c r="J23" s="106">
        <v>45000.0</v>
      </c>
      <c r="K23" s="107">
        <v>25925.0</v>
      </c>
      <c r="L23" s="108">
        <f>J23-K23</f>
        <v>19075</v>
      </c>
      <c r="M23" s="43"/>
      <c r="N23" s="43"/>
      <c r="O23" s="43"/>
      <c r="P23" s="43"/>
      <c r="Q23" s="43"/>
      <c r="R23" s="43"/>
    </row>
    <row r="24" ht="13.5" customHeight="1">
      <c r="A24" s="55"/>
      <c r="B24" s="56"/>
      <c r="C24" s="109"/>
      <c r="D24" s="110" t="s">
        <v>27</v>
      </c>
      <c r="E24" s="59">
        <v>0.0</v>
      </c>
      <c r="F24" s="59">
        <v>2.0</v>
      </c>
      <c r="G24" s="60">
        <v>0.0</v>
      </c>
      <c r="H24" s="53"/>
      <c r="I24" s="110" t="s">
        <v>27</v>
      </c>
      <c r="J24" s="59">
        <v>0.0</v>
      </c>
      <c r="K24" s="59">
        <v>3.0</v>
      </c>
      <c r="L24" s="60">
        <v>0.0</v>
      </c>
      <c r="M24" s="43"/>
      <c r="N24" s="43"/>
      <c r="O24" s="43"/>
      <c r="P24" s="43"/>
      <c r="Q24" s="43"/>
      <c r="R24" s="43"/>
    </row>
    <row r="25" ht="16.5" customHeight="1">
      <c r="A25" s="55"/>
      <c r="B25" s="56"/>
      <c r="C25" s="105" t="s">
        <v>28</v>
      </c>
      <c r="D25" s="62" t="str">
        <f>'管理シフト'!J19</f>
        <v/>
      </c>
      <c r="E25" s="50">
        <v>0.0</v>
      </c>
      <c r="F25" s="51">
        <v>0.0</v>
      </c>
      <c r="G25" s="52">
        <f>E25-F25</f>
        <v>0</v>
      </c>
      <c r="H25" s="53"/>
      <c r="I25" s="62" t="str">
        <f>'管理シフト'!M19</f>
        <v>かずは</v>
      </c>
      <c r="J25" s="106">
        <v>14000.0</v>
      </c>
      <c r="K25" s="107">
        <v>8000.0</v>
      </c>
      <c r="L25" s="108">
        <f>J25-K25</f>
        <v>6000</v>
      </c>
      <c r="M25" s="43"/>
      <c r="N25" s="54" t="s">
        <v>13</v>
      </c>
      <c r="O25" s="54" t="s">
        <v>14</v>
      </c>
      <c r="P25" s="54" t="s">
        <v>15</v>
      </c>
      <c r="Q25" s="43"/>
      <c r="R25" s="43"/>
    </row>
    <row r="26" ht="13.5" customHeight="1">
      <c r="A26" s="63"/>
      <c r="B26" s="64"/>
      <c r="C26" s="109"/>
      <c r="D26" s="110" t="s">
        <v>27</v>
      </c>
      <c r="E26" s="59"/>
      <c r="F26" s="59"/>
      <c r="G26" s="60"/>
      <c r="H26" s="53"/>
      <c r="I26" s="110" t="s">
        <v>27</v>
      </c>
      <c r="J26" s="59">
        <v>0.0</v>
      </c>
      <c r="K26" s="59">
        <v>0.0</v>
      </c>
      <c r="L26" s="60">
        <v>1.0</v>
      </c>
      <c r="M26" s="43"/>
      <c r="N26" s="43">
        <f t="shared" ref="N26:P26" si="9">E24+E26+J24+J26</f>
        <v>0</v>
      </c>
      <c r="O26" s="43">
        <f t="shared" si="9"/>
        <v>5</v>
      </c>
      <c r="P26" s="43">
        <f t="shared" si="9"/>
        <v>1</v>
      </c>
      <c r="Q26" s="43"/>
      <c r="R26" s="43"/>
    </row>
    <row r="27" ht="13.5" customHeight="1">
      <c r="A27" s="43"/>
      <c r="B27" s="65"/>
      <c r="C27" s="69"/>
      <c r="D27" s="73"/>
      <c r="E27" s="67"/>
      <c r="F27" s="67"/>
      <c r="G27" s="53"/>
      <c r="H27" s="53"/>
      <c r="I27" s="112"/>
      <c r="J27" s="113">
        <f t="shared" ref="J27:K27" si="10">E23+E25+J23+J25</f>
        <v>89000</v>
      </c>
      <c r="K27" s="113">
        <f t="shared" si="10"/>
        <v>50925</v>
      </c>
      <c r="L27" s="113">
        <f>SUM(G23+G25+L23+L25+Q23+Q25)</f>
        <v>38075</v>
      </c>
      <c r="M27" s="43"/>
      <c r="N27" s="43"/>
      <c r="O27" s="43"/>
      <c r="P27" s="43"/>
      <c r="Q27" s="43"/>
      <c r="R27" s="43"/>
    </row>
    <row r="28" ht="16.5" customHeight="1">
      <c r="A28" s="46">
        <v>6.0</v>
      </c>
      <c r="B28" s="70" t="str">
        <f>'【大井町】売上'!C9</f>
        <v>金</v>
      </c>
      <c r="C28" s="105" t="s">
        <v>26</v>
      </c>
      <c r="D28" s="49" t="str">
        <f>'管理シフト'!J21</f>
        <v>まな</v>
      </c>
      <c r="E28" s="50">
        <v>12000.0</v>
      </c>
      <c r="F28" s="51">
        <v>6000.0</v>
      </c>
      <c r="G28" s="52">
        <f>E28-F28</f>
        <v>6000</v>
      </c>
      <c r="H28" s="53"/>
      <c r="I28" s="49" t="str">
        <f>'管理シフト'!M21</f>
        <v>ちひろ</v>
      </c>
      <c r="J28" s="106"/>
      <c r="K28" s="107"/>
      <c r="L28" s="108">
        <f>J28-K28</f>
        <v>0</v>
      </c>
      <c r="M28" s="43"/>
      <c r="N28" s="43"/>
      <c r="O28" s="43"/>
      <c r="P28" s="43"/>
      <c r="Q28" s="43"/>
      <c r="R28" s="43"/>
    </row>
    <row r="29" ht="13.5" customHeight="1">
      <c r="A29" s="55"/>
      <c r="B29" s="56"/>
      <c r="C29" s="109"/>
      <c r="D29" s="110" t="s">
        <v>27</v>
      </c>
      <c r="E29" s="59">
        <v>0.0</v>
      </c>
      <c r="F29" s="59">
        <v>0.0</v>
      </c>
      <c r="G29" s="60">
        <v>1.0</v>
      </c>
      <c r="H29" s="53"/>
      <c r="I29" s="110" t="s">
        <v>27</v>
      </c>
      <c r="J29" s="59"/>
      <c r="K29" s="59"/>
      <c r="L29" s="60"/>
      <c r="M29" s="43"/>
      <c r="N29" s="43"/>
      <c r="O29" s="43"/>
      <c r="P29" s="43"/>
      <c r="Q29" s="43"/>
      <c r="R29" s="43"/>
    </row>
    <row r="30" ht="16.5" customHeight="1">
      <c r="A30" s="55"/>
      <c r="B30" s="56"/>
      <c r="C30" s="105" t="s">
        <v>28</v>
      </c>
      <c r="D30" s="62" t="str">
        <f>'管理シフト'!J22</f>
        <v>えりか</v>
      </c>
      <c r="E30" s="50">
        <v>40000.0</v>
      </c>
      <c r="F30" s="51">
        <v>25099.0</v>
      </c>
      <c r="G30" s="52">
        <f>E30-F30</f>
        <v>14901</v>
      </c>
      <c r="H30" s="53"/>
      <c r="I30" s="62" t="str">
        <f>'管理シフト'!M22</f>
        <v>しのぶ</v>
      </c>
      <c r="J30" s="106">
        <v>34000.0</v>
      </c>
      <c r="K30" s="107">
        <v>14000.0</v>
      </c>
      <c r="L30" s="108">
        <f>J30-K30</f>
        <v>20000</v>
      </c>
      <c r="M30" s="43"/>
      <c r="N30" s="54" t="s">
        <v>13</v>
      </c>
      <c r="O30" s="54" t="s">
        <v>14</v>
      </c>
      <c r="P30" s="54" t="s">
        <v>15</v>
      </c>
      <c r="Q30" s="43"/>
      <c r="R30" s="43"/>
    </row>
    <row r="31" ht="13.5" customHeight="1">
      <c r="A31" s="63"/>
      <c r="B31" s="64"/>
      <c r="C31" s="109"/>
      <c r="D31" s="110" t="s">
        <v>27</v>
      </c>
      <c r="E31" s="59">
        <v>0.0</v>
      </c>
      <c r="F31" s="59">
        <v>2.0</v>
      </c>
      <c r="G31" s="60">
        <v>0.0</v>
      </c>
      <c r="H31" s="53"/>
      <c r="I31" s="110" t="s">
        <v>27</v>
      </c>
      <c r="J31" s="59">
        <v>0.0</v>
      </c>
      <c r="K31" s="59">
        <v>2.0</v>
      </c>
      <c r="L31" s="60">
        <v>0.0</v>
      </c>
      <c r="M31" s="43"/>
      <c r="N31" s="43">
        <f t="shared" ref="N31:P31" si="11">E29+E31+J29+J31</f>
        <v>0</v>
      </c>
      <c r="O31" s="43">
        <f t="shared" si="11"/>
        <v>4</v>
      </c>
      <c r="P31" s="43">
        <f t="shared" si="11"/>
        <v>1</v>
      </c>
      <c r="Q31" s="43"/>
      <c r="R31" s="43"/>
    </row>
    <row r="32" ht="13.5" customHeight="1">
      <c r="A32" s="43"/>
      <c r="B32" s="65"/>
      <c r="C32" s="69"/>
      <c r="D32" s="73"/>
      <c r="E32" s="67"/>
      <c r="F32" s="67"/>
      <c r="G32" s="53"/>
      <c r="H32" s="53"/>
      <c r="I32" s="112"/>
      <c r="J32" s="113">
        <f t="shared" ref="J32:K32" si="12">E28+E30+J28+J30</f>
        <v>86000</v>
      </c>
      <c r="K32" s="113">
        <f t="shared" si="12"/>
        <v>45099</v>
      </c>
      <c r="L32" s="113">
        <f>SUM(G28+G30+L28+L30+Q28+Q30)</f>
        <v>40901</v>
      </c>
      <c r="M32" s="43"/>
      <c r="N32" s="43"/>
      <c r="O32" s="43"/>
      <c r="P32" s="43"/>
      <c r="Q32" s="43"/>
      <c r="R32" s="43"/>
    </row>
    <row r="33" ht="16.5" customHeight="1">
      <c r="A33" s="46">
        <v>7.0</v>
      </c>
      <c r="B33" s="70" t="str">
        <f>'【大井町】売上'!C10</f>
        <v>土</v>
      </c>
      <c r="C33" s="105" t="s">
        <v>26</v>
      </c>
      <c r="D33" s="49" t="str">
        <f>'管理シフト'!J24</f>
        <v>てるみ</v>
      </c>
      <c r="E33" s="50">
        <v>30000.0</v>
      </c>
      <c r="F33" s="51">
        <v>17000.0</v>
      </c>
      <c r="G33" s="52">
        <f>E33-F33</f>
        <v>13000</v>
      </c>
      <c r="H33" s="53"/>
      <c r="I33" s="49" t="str">
        <f>'管理シフト'!M24</f>
        <v>くみ</v>
      </c>
      <c r="J33" s="106">
        <v>15000.0</v>
      </c>
      <c r="K33" s="107">
        <v>9447.0</v>
      </c>
      <c r="L33" s="108">
        <f>J33-K33</f>
        <v>5553</v>
      </c>
      <c r="M33" s="43"/>
      <c r="N33" s="43"/>
      <c r="O33" s="43"/>
      <c r="P33" s="43"/>
      <c r="Q33" s="43"/>
      <c r="R33" s="43"/>
    </row>
    <row r="34" ht="13.5" customHeight="1">
      <c r="A34" s="55"/>
      <c r="B34" s="56"/>
      <c r="C34" s="109"/>
      <c r="D34" s="110" t="s">
        <v>27</v>
      </c>
      <c r="E34" s="59">
        <v>1.0</v>
      </c>
      <c r="F34" s="59">
        <v>1.0</v>
      </c>
      <c r="G34" s="60">
        <v>0.0</v>
      </c>
      <c r="H34" s="53"/>
      <c r="I34" s="110" t="s">
        <v>27</v>
      </c>
      <c r="J34" s="59">
        <v>1.0</v>
      </c>
      <c r="K34" s="59">
        <v>0.0</v>
      </c>
      <c r="L34" s="60">
        <v>0.0</v>
      </c>
      <c r="M34" s="43"/>
      <c r="N34" s="43"/>
      <c r="O34" s="43"/>
      <c r="P34" s="43"/>
      <c r="Q34" s="43"/>
      <c r="R34" s="43"/>
    </row>
    <row r="35" ht="16.5" customHeight="1">
      <c r="A35" s="55"/>
      <c r="B35" s="56"/>
      <c r="C35" s="105" t="s">
        <v>28</v>
      </c>
      <c r="D35" s="62" t="str">
        <f>'管理シフト'!J25</f>
        <v/>
      </c>
      <c r="E35" s="50"/>
      <c r="F35" s="51"/>
      <c r="G35" s="52">
        <f>E35-F35</f>
        <v>0</v>
      </c>
      <c r="H35" s="53"/>
      <c r="I35" s="62" t="str">
        <f>'管理シフト'!M25</f>
        <v>かすみ</v>
      </c>
      <c r="J35" s="106">
        <v>14000.0</v>
      </c>
      <c r="K35" s="107">
        <v>8000.0</v>
      </c>
      <c r="L35" s="108">
        <f>J35-K35</f>
        <v>6000</v>
      </c>
      <c r="M35" s="43"/>
      <c r="N35" s="54" t="s">
        <v>13</v>
      </c>
      <c r="O35" s="54" t="s">
        <v>14</v>
      </c>
      <c r="P35" s="54" t="s">
        <v>15</v>
      </c>
      <c r="Q35" s="43"/>
      <c r="R35" s="43"/>
    </row>
    <row r="36" ht="13.5" customHeight="1">
      <c r="A36" s="63"/>
      <c r="B36" s="64"/>
      <c r="C36" s="109"/>
      <c r="D36" s="110" t="s">
        <v>27</v>
      </c>
      <c r="E36" s="59"/>
      <c r="F36" s="59"/>
      <c r="G36" s="60"/>
      <c r="H36" s="53"/>
      <c r="I36" s="110" t="s">
        <v>27</v>
      </c>
      <c r="J36" s="59">
        <v>1.0</v>
      </c>
      <c r="K36" s="59">
        <v>0.0</v>
      </c>
      <c r="L36" s="60">
        <v>0.0</v>
      </c>
      <c r="M36" s="43"/>
      <c r="N36" s="43">
        <f t="shared" ref="N36:P36" si="13">E34+E36+J34+J36</f>
        <v>3</v>
      </c>
      <c r="O36" s="43">
        <f t="shared" si="13"/>
        <v>1</v>
      </c>
      <c r="P36" s="43">
        <f t="shared" si="13"/>
        <v>0</v>
      </c>
      <c r="Q36" s="43"/>
      <c r="R36" s="43"/>
    </row>
    <row r="37" ht="13.5" customHeight="1">
      <c r="A37" s="43"/>
      <c r="B37" s="65"/>
      <c r="C37" s="69"/>
      <c r="D37" s="73"/>
      <c r="E37" s="67"/>
      <c r="F37" s="67"/>
      <c r="G37" s="53"/>
      <c r="H37" s="53"/>
      <c r="I37" s="112"/>
      <c r="J37" s="113">
        <f t="shared" ref="J37:K37" si="14">E33+E35+J33+J35</f>
        <v>59000</v>
      </c>
      <c r="K37" s="113">
        <f t="shared" si="14"/>
        <v>34447</v>
      </c>
      <c r="L37" s="113">
        <f>SUM(G33+G35+L33+L35+Q33+Q35)</f>
        <v>24553</v>
      </c>
      <c r="M37" s="43"/>
      <c r="N37" s="43"/>
      <c r="O37" s="43"/>
      <c r="P37" s="43"/>
      <c r="Q37" s="43"/>
      <c r="R37" s="43"/>
    </row>
    <row r="38" ht="16.5" customHeight="1">
      <c r="A38" s="46">
        <v>8.0</v>
      </c>
      <c r="B38" s="70" t="str">
        <f>'【大井町】売上'!C11</f>
        <v>日</v>
      </c>
      <c r="C38" s="105" t="s">
        <v>26</v>
      </c>
      <c r="D38" s="49" t="str">
        <f>'管理シフト'!J27</f>
        <v/>
      </c>
      <c r="E38" s="50">
        <v>15000.0</v>
      </c>
      <c r="F38" s="51">
        <v>8500.0</v>
      </c>
      <c r="G38" s="52">
        <f>E38-F38</f>
        <v>6500</v>
      </c>
      <c r="H38" s="53"/>
      <c r="I38" s="49" t="str">
        <f>'管理シフト'!M27</f>
        <v>ひより</v>
      </c>
      <c r="J38" s="106"/>
      <c r="K38" s="107"/>
      <c r="L38" s="108">
        <f>J38-K38</f>
        <v>0</v>
      </c>
      <c r="M38" s="43"/>
      <c r="N38" s="43"/>
      <c r="O38" s="43"/>
      <c r="P38" s="43"/>
      <c r="Q38" s="43"/>
      <c r="R38" s="43"/>
      <c r="Z38" s="98" t="s">
        <v>33</v>
      </c>
    </row>
    <row r="39" ht="13.5" customHeight="1">
      <c r="A39" s="55"/>
      <c r="B39" s="56"/>
      <c r="C39" s="109"/>
      <c r="D39" s="110" t="s">
        <v>27</v>
      </c>
      <c r="E39" s="59">
        <v>0.0</v>
      </c>
      <c r="F39" s="59">
        <v>1.0</v>
      </c>
      <c r="G39" s="60">
        <v>0.0</v>
      </c>
      <c r="H39" s="53"/>
      <c r="I39" s="110" t="s">
        <v>27</v>
      </c>
      <c r="J39" s="59"/>
      <c r="K39" s="59"/>
      <c r="L39" s="60"/>
      <c r="M39" s="43"/>
      <c r="N39" s="43"/>
      <c r="O39" s="43"/>
      <c r="P39" s="43"/>
      <c r="Q39" s="43"/>
      <c r="R39" s="43"/>
    </row>
    <row r="40" ht="16.5" customHeight="1">
      <c r="A40" s="55"/>
      <c r="B40" s="56"/>
      <c r="C40" s="105" t="s">
        <v>28</v>
      </c>
      <c r="D40" s="62" t="str">
        <f>'管理シフト'!J28</f>
        <v>わか</v>
      </c>
      <c r="E40" s="50"/>
      <c r="F40" s="51"/>
      <c r="G40" s="52">
        <f>E40-F40</f>
        <v>0</v>
      </c>
      <c r="H40" s="53"/>
      <c r="I40" s="62" t="str">
        <f>'管理シフト'!M28</f>
        <v/>
      </c>
      <c r="J40" s="106">
        <v>15000.0</v>
      </c>
      <c r="K40" s="107">
        <v>8500.0</v>
      </c>
      <c r="L40" s="108">
        <f>J40-K40</f>
        <v>6500</v>
      </c>
      <c r="M40" s="43"/>
      <c r="N40" s="54" t="s">
        <v>13</v>
      </c>
      <c r="O40" s="54" t="s">
        <v>14</v>
      </c>
      <c r="P40" s="54" t="s">
        <v>15</v>
      </c>
      <c r="Q40" s="43"/>
      <c r="R40" s="43"/>
    </row>
    <row r="41" ht="13.5" customHeight="1">
      <c r="A41" s="63"/>
      <c r="B41" s="64"/>
      <c r="C41" s="109"/>
      <c r="D41" s="110" t="s">
        <v>27</v>
      </c>
      <c r="E41" s="59"/>
      <c r="F41" s="59"/>
      <c r="G41" s="60"/>
      <c r="H41" s="53"/>
      <c r="I41" s="110" t="s">
        <v>27</v>
      </c>
      <c r="J41" s="59">
        <v>1.0</v>
      </c>
      <c r="K41" s="59">
        <v>0.0</v>
      </c>
      <c r="L41" s="60">
        <v>0.0</v>
      </c>
      <c r="M41" s="43"/>
      <c r="N41" s="43">
        <f t="shared" ref="N41:P41" si="15">E39+E41+J39+J41</f>
        <v>1</v>
      </c>
      <c r="O41" s="43">
        <f t="shared" si="15"/>
        <v>1</v>
      </c>
      <c r="P41" s="43">
        <f t="shared" si="15"/>
        <v>0</v>
      </c>
      <c r="Q41" s="43"/>
      <c r="R41" s="43"/>
    </row>
    <row r="42" ht="13.5" customHeight="1">
      <c r="A42" s="43"/>
      <c r="B42" s="65"/>
      <c r="C42" s="69"/>
      <c r="D42" s="73"/>
      <c r="E42" s="67"/>
      <c r="F42" s="67"/>
      <c r="G42" s="53"/>
      <c r="H42" s="53"/>
      <c r="I42" s="112"/>
      <c r="J42" s="113">
        <f t="shared" ref="J42:K42" si="16">E38+E40+J38+J40</f>
        <v>30000</v>
      </c>
      <c r="K42" s="113">
        <f t="shared" si="16"/>
        <v>17000</v>
      </c>
      <c r="L42" s="113">
        <f>SUM(G38+G40+L38+L40+Q38+Q40)</f>
        <v>13000</v>
      </c>
      <c r="M42" s="43"/>
      <c r="N42" s="43"/>
      <c r="O42" s="43"/>
      <c r="P42" s="43"/>
      <c r="Q42" s="43"/>
      <c r="R42" s="43"/>
    </row>
    <row r="43" ht="16.5" customHeight="1">
      <c r="A43" s="46">
        <v>9.0</v>
      </c>
      <c r="B43" s="70" t="str">
        <f>'【大井町】売上'!C12</f>
        <v>月</v>
      </c>
      <c r="C43" s="105" t="s">
        <v>26</v>
      </c>
      <c r="D43" s="49" t="str">
        <f>'管理シフト'!J30</f>
        <v>ゆかり</v>
      </c>
      <c r="E43" s="50">
        <v>20000.0</v>
      </c>
      <c r="F43" s="51">
        <v>11000.0</v>
      </c>
      <c r="G43" s="52">
        <f>E43-F43</f>
        <v>9000</v>
      </c>
      <c r="H43" s="53"/>
      <c r="I43" s="49" t="str">
        <f>'管理シフト'!M30</f>
        <v>ちひろ</v>
      </c>
      <c r="J43" s="106">
        <v>67000.0</v>
      </c>
      <c r="K43" s="107">
        <v>36500.0</v>
      </c>
      <c r="L43" s="108">
        <f>J43-K43</f>
        <v>30500</v>
      </c>
      <c r="M43" s="43"/>
      <c r="N43" s="43"/>
      <c r="O43" s="43"/>
      <c r="P43" s="43"/>
      <c r="Q43" s="43"/>
      <c r="R43" s="43"/>
    </row>
    <row r="44" ht="13.5" customHeight="1">
      <c r="A44" s="55"/>
      <c r="B44" s="56"/>
      <c r="C44" s="109"/>
      <c r="D44" s="110" t="s">
        <v>27</v>
      </c>
      <c r="E44" s="59">
        <v>1.0</v>
      </c>
      <c r="F44" s="59">
        <v>0.0</v>
      </c>
      <c r="G44" s="60">
        <v>0.0</v>
      </c>
      <c r="H44" s="53"/>
      <c r="I44" s="110" t="s">
        <v>27</v>
      </c>
      <c r="J44" s="59">
        <v>0.0</v>
      </c>
      <c r="K44" s="59">
        <v>4.0</v>
      </c>
      <c r="L44" s="60">
        <v>0.0</v>
      </c>
      <c r="M44" s="43"/>
      <c r="N44" s="43"/>
      <c r="O44" s="43"/>
      <c r="P44" s="43"/>
      <c r="Q44" s="43"/>
      <c r="R44" s="43"/>
    </row>
    <row r="45" ht="16.5" customHeight="1">
      <c r="A45" s="55"/>
      <c r="B45" s="56"/>
      <c r="C45" s="105" t="s">
        <v>28</v>
      </c>
      <c r="D45" s="62" t="str">
        <f>'管理シフト'!J31</f>
        <v>みこ</v>
      </c>
      <c r="E45" s="50">
        <v>51000.0</v>
      </c>
      <c r="F45" s="51">
        <v>29500.0</v>
      </c>
      <c r="G45" s="52">
        <f>E45-F45</f>
        <v>21500</v>
      </c>
      <c r="H45" s="53"/>
      <c r="I45" s="62" t="str">
        <f>'管理シフト'!M31</f>
        <v>しおん</v>
      </c>
      <c r="J45" s="106"/>
      <c r="K45" s="107"/>
      <c r="L45" s="108">
        <f>J45-K45</f>
        <v>0</v>
      </c>
      <c r="M45" s="43"/>
      <c r="N45" s="54" t="s">
        <v>13</v>
      </c>
      <c r="O45" s="54" t="s">
        <v>14</v>
      </c>
      <c r="P45" s="54" t="s">
        <v>15</v>
      </c>
      <c r="Q45" s="43"/>
      <c r="R45" s="43"/>
    </row>
    <row r="46" ht="13.5" customHeight="1">
      <c r="A46" s="63"/>
      <c r="B46" s="64"/>
      <c r="C46" s="109"/>
      <c r="D46" s="110" t="s">
        <v>27</v>
      </c>
      <c r="E46" s="59">
        <v>0.0</v>
      </c>
      <c r="F46" s="59">
        <v>2.0</v>
      </c>
      <c r="G46" s="60">
        <v>1.0</v>
      </c>
      <c r="H46" s="53"/>
      <c r="I46" s="110" t="s">
        <v>27</v>
      </c>
      <c r="J46" s="59"/>
      <c r="K46" s="59"/>
      <c r="L46" s="60"/>
      <c r="M46" s="43"/>
      <c r="N46" s="43">
        <f t="shared" ref="N46:P46" si="17">E44+E46+J44+J46</f>
        <v>1</v>
      </c>
      <c r="O46" s="43">
        <f t="shared" si="17"/>
        <v>6</v>
      </c>
      <c r="P46" s="43">
        <f t="shared" si="17"/>
        <v>1</v>
      </c>
      <c r="Q46" s="43"/>
      <c r="R46" s="43"/>
    </row>
    <row r="47" ht="13.5" customHeight="1">
      <c r="A47" s="43"/>
      <c r="B47" s="65"/>
      <c r="C47" s="69"/>
      <c r="D47" s="73"/>
      <c r="E47" s="67"/>
      <c r="F47" s="67"/>
      <c r="G47" s="53"/>
      <c r="H47" s="53"/>
      <c r="I47" s="112"/>
      <c r="J47" s="113">
        <f t="shared" ref="J47:K47" si="18">E43+E45+J43+J45</f>
        <v>138000</v>
      </c>
      <c r="K47" s="113">
        <f t="shared" si="18"/>
        <v>77000</v>
      </c>
      <c r="L47" s="113">
        <f>SUM(G43+G45+L43+L45+Q43+Q45)</f>
        <v>61000</v>
      </c>
      <c r="M47" s="43"/>
      <c r="N47" s="43"/>
      <c r="O47" s="43"/>
      <c r="P47" s="43"/>
      <c r="Q47" s="43"/>
      <c r="R47" s="43"/>
    </row>
    <row r="48" ht="16.5" customHeight="1">
      <c r="A48" s="46">
        <v>10.0</v>
      </c>
      <c r="B48" s="70" t="str">
        <f>'【大井町】売上'!C13</f>
        <v>火</v>
      </c>
      <c r="C48" s="105" t="s">
        <v>26</v>
      </c>
      <c r="D48" s="49" t="str">
        <f>'管理シフト'!J33</f>
        <v>えみり</v>
      </c>
      <c r="E48" s="50">
        <v>36000.0</v>
      </c>
      <c r="F48" s="51">
        <v>20000.0</v>
      </c>
      <c r="G48" s="52">
        <f>E48-F48</f>
        <v>16000</v>
      </c>
      <c r="H48" s="53"/>
      <c r="I48" s="49" t="str">
        <f>'管理シフト'!M33</f>
        <v>ひより</v>
      </c>
      <c r="J48" s="106">
        <v>64000.0</v>
      </c>
      <c r="K48" s="107">
        <v>35000.0</v>
      </c>
      <c r="L48" s="108">
        <f>J48-K48</f>
        <v>29000</v>
      </c>
      <c r="M48" s="43"/>
      <c r="N48" s="43"/>
      <c r="O48" s="43"/>
      <c r="P48" s="43"/>
      <c r="Q48" s="43"/>
      <c r="R48" s="43"/>
    </row>
    <row r="49" ht="13.5" customHeight="1">
      <c r="A49" s="55"/>
      <c r="B49" s="56"/>
      <c r="C49" s="109"/>
      <c r="D49" s="110" t="s">
        <v>27</v>
      </c>
      <c r="E49" s="59">
        <v>1.0</v>
      </c>
      <c r="F49" s="59">
        <v>1.0</v>
      </c>
      <c r="G49" s="60">
        <v>0.0</v>
      </c>
      <c r="H49" s="53"/>
      <c r="I49" s="110" t="s">
        <v>27</v>
      </c>
      <c r="J49" s="59">
        <v>2.0</v>
      </c>
      <c r="K49" s="59">
        <v>1.0</v>
      </c>
      <c r="L49" s="60">
        <v>0.0</v>
      </c>
      <c r="M49" s="43"/>
      <c r="N49" s="43"/>
      <c r="O49" s="43"/>
      <c r="P49" s="43"/>
      <c r="Q49" s="43"/>
      <c r="R49" s="43"/>
    </row>
    <row r="50" ht="16.5" customHeight="1">
      <c r="A50" s="55"/>
      <c r="B50" s="56"/>
      <c r="C50" s="105" t="s">
        <v>28</v>
      </c>
      <c r="D50" s="62" t="str">
        <f>'管理シフト'!J34</f>
        <v/>
      </c>
      <c r="E50" s="50">
        <v>0.0</v>
      </c>
      <c r="F50" s="51">
        <v>0.0</v>
      </c>
      <c r="G50" s="52">
        <f>E50-F50</f>
        <v>0</v>
      </c>
      <c r="H50" s="53"/>
      <c r="I50" s="62" t="str">
        <f>'管理シフト'!M34</f>
        <v>しずか</v>
      </c>
      <c r="J50" s="106">
        <v>12000.0</v>
      </c>
      <c r="K50" s="107">
        <v>6000.0</v>
      </c>
      <c r="L50" s="108">
        <f>J50-K50</f>
        <v>6000</v>
      </c>
      <c r="M50" s="43"/>
      <c r="N50" s="54" t="s">
        <v>13</v>
      </c>
      <c r="O50" s="54" t="s">
        <v>14</v>
      </c>
      <c r="P50" s="54" t="s">
        <v>15</v>
      </c>
      <c r="Q50" s="43"/>
      <c r="R50" s="43"/>
    </row>
    <row r="51" ht="13.5" customHeight="1">
      <c r="A51" s="63"/>
      <c r="B51" s="64"/>
      <c r="C51" s="109"/>
      <c r="D51" s="110" t="s">
        <v>27</v>
      </c>
      <c r="E51" s="59"/>
      <c r="F51" s="59"/>
      <c r="G51" s="60"/>
      <c r="H51" s="53"/>
      <c r="I51" s="110" t="s">
        <v>27</v>
      </c>
      <c r="J51" s="59">
        <v>0.0</v>
      </c>
      <c r="K51" s="59">
        <v>1.0</v>
      </c>
      <c r="L51" s="60">
        <v>0.0</v>
      </c>
      <c r="M51" s="43"/>
      <c r="N51" s="43">
        <f t="shared" ref="N51:P51" si="19">E49+E51+J49+J51</f>
        <v>3</v>
      </c>
      <c r="O51" s="43">
        <f t="shared" si="19"/>
        <v>3</v>
      </c>
      <c r="P51" s="43">
        <f t="shared" si="19"/>
        <v>0</v>
      </c>
      <c r="Q51" s="43"/>
      <c r="R51" s="43"/>
    </row>
    <row r="52" ht="13.5" customHeight="1">
      <c r="A52" s="43"/>
      <c r="B52" s="65"/>
      <c r="C52" s="69"/>
      <c r="D52" s="73"/>
      <c r="E52" s="67"/>
      <c r="F52" s="67"/>
      <c r="G52" s="53"/>
      <c r="H52" s="53"/>
      <c r="I52" s="112"/>
      <c r="J52" s="113">
        <f t="shared" ref="J52:K52" si="20">E48+E50+J48+J50</f>
        <v>112000</v>
      </c>
      <c r="K52" s="113">
        <f t="shared" si="20"/>
        <v>61000</v>
      </c>
      <c r="L52" s="113">
        <f>SUM(G48+G50+L48+L50+Q48+Q50)</f>
        <v>51000</v>
      </c>
      <c r="M52" s="43"/>
      <c r="N52" s="43"/>
      <c r="O52" s="43"/>
      <c r="P52" s="43"/>
      <c r="Q52" s="43"/>
      <c r="R52" s="43"/>
    </row>
    <row r="53" ht="16.5" customHeight="1">
      <c r="A53" s="46">
        <v>11.0</v>
      </c>
      <c r="B53" s="70" t="str">
        <f>'【大井町】売上'!C14</f>
        <v>水</v>
      </c>
      <c r="C53" s="105" t="s">
        <v>26</v>
      </c>
      <c r="D53" s="49" t="str">
        <f>'管理シフト'!J36</f>
        <v/>
      </c>
      <c r="E53" s="50">
        <v>0.0</v>
      </c>
      <c r="F53" s="51">
        <v>0.0</v>
      </c>
      <c r="G53" s="52">
        <f>E53-F53</f>
        <v>0</v>
      </c>
      <c r="H53" s="53"/>
      <c r="I53" s="49" t="str">
        <f>'管理シフト'!M36</f>
        <v/>
      </c>
      <c r="J53" s="106">
        <v>38000.0</v>
      </c>
      <c r="K53" s="107">
        <v>20000.0</v>
      </c>
      <c r="L53" s="108">
        <f>J53-K53</f>
        <v>18000</v>
      </c>
      <c r="M53" s="43"/>
      <c r="N53" s="43"/>
      <c r="O53" s="43"/>
      <c r="P53" s="43"/>
      <c r="Q53" s="43"/>
      <c r="R53" s="43"/>
    </row>
    <row r="54" ht="13.5" customHeight="1">
      <c r="A54" s="55"/>
      <c r="B54" s="56"/>
      <c r="C54" s="109"/>
      <c r="D54" s="110" t="s">
        <v>27</v>
      </c>
      <c r="E54" s="59"/>
      <c r="F54" s="59"/>
      <c r="G54" s="60"/>
      <c r="H54" s="53"/>
      <c r="I54" s="110" t="s">
        <v>27</v>
      </c>
      <c r="J54" s="59">
        <v>1.0</v>
      </c>
      <c r="K54" s="59">
        <v>1.0</v>
      </c>
      <c r="L54" s="60">
        <v>0.0</v>
      </c>
      <c r="M54" s="43"/>
      <c r="N54" s="43"/>
      <c r="O54" s="43"/>
      <c r="P54" s="43"/>
      <c r="Q54" s="43"/>
      <c r="R54" s="43"/>
    </row>
    <row r="55" ht="16.5" customHeight="1">
      <c r="A55" s="55"/>
      <c r="B55" s="56"/>
      <c r="C55" s="105" t="s">
        <v>28</v>
      </c>
      <c r="D55" s="62" t="str">
        <f>'管理シフト'!J37</f>
        <v/>
      </c>
      <c r="E55" s="50">
        <v>16000.0</v>
      </c>
      <c r="F55" s="51">
        <v>8000.0</v>
      </c>
      <c r="G55" s="52">
        <f>E55-F55</f>
        <v>8000</v>
      </c>
      <c r="H55" s="53"/>
      <c r="I55" s="62" t="str">
        <f>'管理シフト'!M37</f>
        <v/>
      </c>
      <c r="J55" s="106">
        <v>19000.0</v>
      </c>
      <c r="K55" s="107">
        <v>10500.0</v>
      </c>
      <c r="L55" s="108">
        <f>J55-K55</f>
        <v>8500</v>
      </c>
      <c r="M55" s="43"/>
      <c r="N55" s="54" t="s">
        <v>13</v>
      </c>
      <c r="O55" s="54" t="s">
        <v>14</v>
      </c>
      <c r="P55" s="54" t="s">
        <v>15</v>
      </c>
      <c r="Q55" s="43"/>
      <c r="R55" s="43"/>
    </row>
    <row r="56" ht="13.5" customHeight="1">
      <c r="A56" s="63"/>
      <c r="B56" s="64"/>
      <c r="C56" s="109"/>
      <c r="D56" s="110" t="s">
        <v>27</v>
      </c>
      <c r="E56" s="59">
        <v>0.0</v>
      </c>
      <c r="F56" s="59">
        <v>1.0</v>
      </c>
      <c r="G56" s="60">
        <v>0.0</v>
      </c>
      <c r="H56" s="53"/>
      <c r="I56" s="110" t="s">
        <v>27</v>
      </c>
      <c r="J56" s="59">
        <v>0.0</v>
      </c>
      <c r="K56" s="59">
        <v>1.0</v>
      </c>
      <c r="L56" s="60">
        <v>0.0</v>
      </c>
      <c r="M56" s="43"/>
      <c r="N56" s="43">
        <f t="shared" ref="N56:P56" si="21">E54+E56+J54+J56</f>
        <v>1</v>
      </c>
      <c r="O56" s="43">
        <f t="shared" si="21"/>
        <v>3</v>
      </c>
      <c r="P56" s="43">
        <f t="shared" si="21"/>
        <v>0</v>
      </c>
      <c r="Q56" s="43"/>
      <c r="R56" s="43"/>
    </row>
    <row r="57" ht="13.5" customHeight="1">
      <c r="A57" s="43"/>
      <c r="B57" s="65"/>
      <c r="C57" s="69"/>
      <c r="D57" s="73"/>
      <c r="E57" s="67"/>
      <c r="F57" s="67"/>
      <c r="G57" s="53"/>
      <c r="H57" s="53"/>
      <c r="I57" s="112"/>
      <c r="J57" s="113">
        <f t="shared" ref="J57:K57" si="22">E53+E55+J53+J55</f>
        <v>73000</v>
      </c>
      <c r="K57" s="113">
        <f t="shared" si="22"/>
        <v>38500</v>
      </c>
      <c r="L57" s="113">
        <f>SUM(G53+G55+L53+L55+Q53+Q55)</f>
        <v>34500</v>
      </c>
      <c r="M57" s="43"/>
      <c r="N57" s="43"/>
      <c r="O57" s="43"/>
      <c r="P57" s="43"/>
      <c r="Q57" s="43"/>
      <c r="R57" s="43"/>
    </row>
    <row r="58" ht="16.5" customHeight="1">
      <c r="A58" s="46">
        <v>12.0</v>
      </c>
      <c r="B58" s="70" t="str">
        <f>'【大井町】売上'!C15</f>
        <v>木</v>
      </c>
      <c r="C58" s="105" t="s">
        <v>26</v>
      </c>
      <c r="D58" s="49" t="str">
        <f>'管理シフト'!J39</f>
        <v/>
      </c>
      <c r="E58" s="50"/>
      <c r="F58" s="51"/>
      <c r="G58" s="52">
        <f>E58-F58</f>
        <v>0</v>
      </c>
      <c r="H58" s="53"/>
      <c r="I58" s="49" t="str">
        <f>'管理シフト'!M39</f>
        <v/>
      </c>
      <c r="J58" s="106">
        <v>49000.0</v>
      </c>
      <c r="K58" s="107">
        <v>27847.0</v>
      </c>
      <c r="L58" s="108">
        <f>J58-K58</f>
        <v>21153</v>
      </c>
      <c r="M58" s="43"/>
      <c r="N58" s="43"/>
      <c r="O58" s="43"/>
      <c r="P58" s="43"/>
      <c r="Q58" s="43"/>
      <c r="R58" s="43"/>
    </row>
    <row r="59" ht="13.5" customHeight="1">
      <c r="A59" s="55"/>
      <c r="B59" s="56"/>
      <c r="C59" s="109"/>
      <c r="D59" s="110" t="s">
        <v>27</v>
      </c>
      <c r="E59" s="59"/>
      <c r="F59" s="59"/>
      <c r="G59" s="60"/>
      <c r="H59" s="53"/>
      <c r="I59" s="110" t="s">
        <v>27</v>
      </c>
      <c r="J59" s="59">
        <v>0.0</v>
      </c>
      <c r="K59" s="59">
        <v>3.0</v>
      </c>
      <c r="L59" s="60">
        <v>0.0</v>
      </c>
      <c r="M59" s="43"/>
      <c r="N59" s="43"/>
      <c r="O59" s="43"/>
      <c r="P59" s="43"/>
      <c r="Q59" s="43"/>
      <c r="R59" s="43"/>
    </row>
    <row r="60" ht="16.5" customHeight="1">
      <c r="A60" s="55"/>
      <c r="B60" s="56"/>
      <c r="C60" s="105" t="s">
        <v>28</v>
      </c>
      <c r="D60" s="62" t="str">
        <f>'管理シフト'!J40</f>
        <v/>
      </c>
      <c r="E60" s="50">
        <v>48000.0</v>
      </c>
      <c r="F60" s="51">
        <v>29000.0</v>
      </c>
      <c r="G60" s="52">
        <f>E60-F60</f>
        <v>19000</v>
      </c>
      <c r="H60" s="53"/>
      <c r="I60" s="62" t="str">
        <f>'管理シフト'!M40</f>
        <v/>
      </c>
      <c r="J60" s="106"/>
      <c r="K60" s="107"/>
      <c r="L60" s="108">
        <f>J60-K60</f>
        <v>0</v>
      </c>
      <c r="M60" s="43"/>
      <c r="N60" s="54" t="s">
        <v>13</v>
      </c>
      <c r="O60" s="54" t="s">
        <v>14</v>
      </c>
      <c r="P60" s="54" t="s">
        <v>15</v>
      </c>
      <c r="Q60" s="43"/>
      <c r="R60" s="43"/>
    </row>
    <row r="61" ht="13.5" customHeight="1">
      <c r="A61" s="63"/>
      <c r="B61" s="64"/>
      <c r="C61" s="109"/>
      <c r="D61" s="110" t="s">
        <v>27</v>
      </c>
      <c r="E61" s="59">
        <v>0.0</v>
      </c>
      <c r="F61" s="59">
        <v>1.0</v>
      </c>
      <c r="G61" s="60">
        <v>2.0</v>
      </c>
      <c r="H61" s="53"/>
      <c r="I61" s="110" t="s">
        <v>27</v>
      </c>
      <c r="J61" s="59"/>
      <c r="K61" s="59"/>
      <c r="L61" s="60"/>
      <c r="M61" s="43"/>
      <c r="N61" s="43">
        <f t="shared" ref="N61:P61" si="23">E59+E61+J59+J61</f>
        <v>0</v>
      </c>
      <c r="O61" s="43">
        <f t="shared" si="23"/>
        <v>4</v>
      </c>
      <c r="P61" s="43">
        <f t="shared" si="23"/>
        <v>2</v>
      </c>
      <c r="Q61" s="43"/>
      <c r="R61" s="43"/>
    </row>
    <row r="62" ht="13.5" customHeight="1">
      <c r="A62" s="43"/>
      <c r="B62" s="115"/>
      <c r="C62" s="69"/>
      <c r="D62" s="73"/>
      <c r="E62" s="67"/>
      <c r="F62" s="67"/>
      <c r="G62" s="53"/>
      <c r="H62" s="53"/>
      <c r="I62" s="112"/>
      <c r="J62" s="113">
        <f t="shared" ref="J62:K62" si="24">E58+E60+J58+J60</f>
        <v>97000</v>
      </c>
      <c r="K62" s="113">
        <f t="shared" si="24"/>
        <v>56847</v>
      </c>
      <c r="L62" s="113">
        <f>SUM(G58+G60+L58+L60+Q58+Q60)</f>
        <v>40153</v>
      </c>
      <c r="M62" s="43"/>
      <c r="N62" s="43"/>
      <c r="O62" s="43"/>
      <c r="P62" s="43"/>
      <c r="Q62" s="43"/>
      <c r="R62" s="43"/>
    </row>
    <row r="63" ht="16.5" customHeight="1">
      <c r="A63" s="46">
        <v>13.0</v>
      </c>
      <c r="B63" s="116" t="str">
        <f>'【大井町】売上'!C16</f>
        <v>金</v>
      </c>
      <c r="C63" s="105" t="s">
        <v>26</v>
      </c>
      <c r="D63" s="49" t="str">
        <f>'管理シフト'!J42</f>
        <v/>
      </c>
      <c r="E63" s="50">
        <v>0.0</v>
      </c>
      <c r="F63" s="51">
        <v>0.0</v>
      </c>
      <c r="G63" s="52">
        <f>E63-F63</f>
        <v>0</v>
      </c>
      <c r="H63" s="53"/>
      <c r="I63" s="49" t="str">
        <f>'管理シフト'!M42</f>
        <v/>
      </c>
      <c r="J63" s="106"/>
      <c r="K63" s="107"/>
      <c r="L63" s="108">
        <f>J63-K63</f>
        <v>0</v>
      </c>
      <c r="M63" s="43"/>
      <c r="N63" s="43"/>
      <c r="O63" s="43"/>
      <c r="P63" s="43"/>
      <c r="Q63" s="43"/>
      <c r="R63" s="43"/>
    </row>
    <row r="64" ht="13.5" customHeight="1">
      <c r="A64" s="55"/>
      <c r="B64" s="56"/>
      <c r="C64" s="109"/>
      <c r="D64" s="110" t="s">
        <v>27</v>
      </c>
      <c r="E64" s="59"/>
      <c r="F64" s="59"/>
      <c r="G64" s="60"/>
      <c r="H64" s="53"/>
      <c r="I64" s="110" t="s">
        <v>27</v>
      </c>
      <c r="J64" s="59"/>
      <c r="K64" s="59"/>
      <c r="L64" s="60"/>
      <c r="M64" s="43"/>
      <c r="N64" s="43"/>
      <c r="O64" s="43"/>
      <c r="P64" s="43"/>
      <c r="Q64" s="43"/>
      <c r="R64" s="43"/>
    </row>
    <row r="65" ht="16.5" customHeight="1">
      <c r="A65" s="55"/>
      <c r="B65" s="56"/>
      <c r="C65" s="105" t="s">
        <v>28</v>
      </c>
      <c r="D65" s="62" t="str">
        <f>'管理シフト'!J43</f>
        <v/>
      </c>
      <c r="E65" s="50"/>
      <c r="F65" s="51"/>
      <c r="G65" s="52">
        <f>E65-F65</f>
        <v>0</v>
      </c>
      <c r="H65" s="53"/>
      <c r="I65" s="62" t="str">
        <f>'管理シフト'!M43</f>
        <v/>
      </c>
      <c r="J65" s="106">
        <v>51000.0</v>
      </c>
      <c r="K65" s="107">
        <v>29000.0</v>
      </c>
      <c r="L65" s="108">
        <f>J65-K65</f>
        <v>22000</v>
      </c>
      <c r="M65" s="43"/>
      <c r="N65" s="54" t="s">
        <v>13</v>
      </c>
      <c r="O65" s="54" t="s">
        <v>14</v>
      </c>
      <c r="P65" s="54" t="s">
        <v>15</v>
      </c>
      <c r="Q65" s="43"/>
      <c r="R65" s="43"/>
    </row>
    <row r="66" ht="13.5" customHeight="1">
      <c r="A66" s="63"/>
      <c r="B66" s="64"/>
      <c r="C66" s="109"/>
      <c r="D66" s="110" t="s">
        <v>27</v>
      </c>
      <c r="E66" s="59"/>
      <c r="F66" s="59"/>
      <c r="G66" s="60"/>
      <c r="H66" s="53"/>
      <c r="I66" s="110" t="s">
        <v>27</v>
      </c>
      <c r="J66" s="59">
        <v>0.0</v>
      </c>
      <c r="K66" s="59">
        <v>1.0</v>
      </c>
      <c r="L66" s="60">
        <v>2.0</v>
      </c>
      <c r="M66" s="43"/>
      <c r="N66" s="43">
        <f t="shared" ref="N66:P66" si="25">E64+E66+J64+J66</f>
        <v>0</v>
      </c>
      <c r="O66" s="43">
        <f t="shared" si="25"/>
        <v>1</v>
      </c>
      <c r="P66" s="43">
        <f t="shared" si="25"/>
        <v>2</v>
      </c>
      <c r="Q66" s="43"/>
      <c r="R66" s="43"/>
    </row>
    <row r="67" ht="13.5" customHeight="1">
      <c r="A67" s="43"/>
      <c r="B67" s="115"/>
      <c r="C67" s="69"/>
      <c r="D67" s="73"/>
      <c r="E67" s="67"/>
      <c r="F67" s="67"/>
      <c r="G67" s="53"/>
      <c r="H67" s="53"/>
      <c r="I67" s="73"/>
      <c r="J67" s="113">
        <f t="shared" ref="J67:K67" si="26">E63+E65+J63+J65</f>
        <v>51000</v>
      </c>
      <c r="K67" s="113">
        <f t="shared" si="26"/>
        <v>29000</v>
      </c>
      <c r="L67" s="113">
        <f>SUM(G63+G65+L63+L65+Q63+Q65)</f>
        <v>22000</v>
      </c>
      <c r="M67" s="43"/>
      <c r="N67" s="43"/>
      <c r="O67" s="43"/>
      <c r="P67" s="43"/>
      <c r="Q67" s="43"/>
      <c r="R67" s="43"/>
    </row>
    <row r="68" ht="16.5" customHeight="1">
      <c r="A68" s="46">
        <v>14.0</v>
      </c>
      <c r="B68" s="116" t="str">
        <f>'【大井町】売上'!C17</f>
        <v>土</v>
      </c>
      <c r="C68" s="105" t="s">
        <v>26</v>
      </c>
      <c r="D68" s="49" t="str">
        <f>'管理シフト'!J45</f>
        <v/>
      </c>
      <c r="E68" s="50">
        <v>15000.0</v>
      </c>
      <c r="F68" s="51">
        <v>8500.0</v>
      </c>
      <c r="G68" s="52">
        <f>E68-F68</f>
        <v>6500</v>
      </c>
      <c r="H68" s="53"/>
      <c r="I68" s="49" t="str">
        <f>'管理シフト'!M45</f>
        <v/>
      </c>
      <c r="J68" s="106">
        <v>29000.0</v>
      </c>
      <c r="K68" s="107">
        <v>15827.0</v>
      </c>
      <c r="L68" s="108">
        <f>J68-K68</f>
        <v>13173</v>
      </c>
      <c r="M68" s="43"/>
      <c r="N68" s="43"/>
      <c r="O68" s="43"/>
      <c r="P68" s="43"/>
      <c r="Q68" s="43"/>
      <c r="R68" s="43"/>
    </row>
    <row r="69" ht="13.5" customHeight="1">
      <c r="A69" s="55"/>
      <c r="B69" s="56"/>
      <c r="C69" s="109"/>
      <c r="D69" s="110" t="s">
        <v>27</v>
      </c>
      <c r="E69" s="59">
        <v>0.0</v>
      </c>
      <c r="F69" s="59">
        <v>1.0</v>
      </c>
      <c r="G69" s="60">
        <v>0.0</v>
      </c>
      <c r="H69" s="53"/>
      <c r="I69" s="110" t="s">
        <v>27</v>
      </c>
      <c r="J69" s="59">
        <v>0.0</v>
      </c>
      <c r="K69" s="59">
        <v>1.0</v>
      </c>
      <c r="L69" s="60">
        <v>0.0</v>
      </c>
      <c r="M69" s="43"/>
      <c r="N69" s="43"/>
      <c r="O69" s="43"/>
      <c r="P69" s="43"/>
      <c r="Q69" s="43"/>
      <c r="R69" s="43"/>
    </row>
    <row r="70" ht="16.5" customHeight="1">
      <c r="A70" s="55"/>
      <c r="B70" s="56"/>
      <c r="C70" s="105" t="s">
        <v>28</v>
      </c>
      <c r="D70" s="62" t="str">
        <f>'管理シフト'!J46</f>
        <v/>
      </c>
      <c r="E70" s="50"/>
      <c r="F70" s="51"/>
      <c r="G70" s="52">
        <f>E70-F70</f>
        <v>0</v>
      </c>
      <c r="H70" s="53"/>
      <c r="I70" s="62" t="str">
        <f>'管理シフト'!M46</f>
        <v/>
      </c>
      <c r="J70" s="106">
        <v>20000.0</v>
      </c>
      <c r="K70" s="107">
        <v>16495.0</v>
      </c>
      <c r="L70" s="108">
        <f>J70-K70</f>
        <v>3505</v>
      </c>
      <c r="M70" s="43"/>
      <c r="N70" s="54" t="s">
        <v>13</v>
      </c>
      <c r="O70" s="54" t="s">
        <v>14</v>
      </c>
      <c r="P70" s="54" t="s">
        <v>15</v>
      </c>
      <c r="Q70" s="43"/>
      <c r="R70" s="43"/>
    </row>
    <row r="71" ht="13.5" customHeight="1">
      <c r="A71" s="63"/>
      <c r="B71" s="64"/>
      <c r="C71" s="109"/>
      <c r="D71" s="110" t="s">
        <v>27</v>
      </c>
      <c r="E71" s="59"/>
      <c r="F71" s="59"/>
      <c r="G71" s="60"/>
      <c r="H71" s="53"/>
      <c r="I71" s="110" t="s">
        <v>27</v>
      </c>
      <c r="J71" s="59">
        <v>0.0</v>
      </c>
      <c r="K71" s="59">
        <v>1.0</v>
      </c>
      <c r="L71" s="60">
        <v>0.0</v>
      </c>
      <c r="M71" s="43"/>
      <c r="N71" s="43">
        <f t="shared" ref="N71:P71" si="27">E69+E71+J69+J71</f>
        <v>0</v>
      </c>
      <c r="O71" s="43">
        <f t="shared" si="27"/>
        <v>3</v>
      </c>
      <c r="P71" s="43">
        <f t="shared" si="27"/>
        <v>0</v>
      </c>
      <c r="Q71" s="43"/>
      <c r="R71" s="43"/>
    </row>
    <row r="72" ht="13.5" customHeight="1">
      <c r="A72" s="43"/>
      <c r="B72" s="115"/>
      <c r="C72" s="69"/>
      <c r="D72" s="73"/>
      <c r="E72" s="67"/>
      <c r="F72" s="67"/>
      <c r="G72" s="53"/>
      <c r="H72" s="53"/>
      <c r="I72" s="73"/>
      <c r="J72" s="113">
        <f t="shared" ref="J72:K72" si="28">E68+E70+J68+J70</f>
        <v>64000</v>
      </c>
      <c r="K72" s="113">
        <f t="shared" si="28"/>
        <v>40822</v>
      </c>
      <c r="L72" s="113">
        <f>SUM(G68+G70+L68+L70+Q68+Q70)</f>
        <v>23178</v>
      </c>
      <c r="M72" s="43"/>
      <c r="N72" s="43"/>
      <c r="O72" s="43"/>
      <c r="P72" s="43"/>
      <c r="Q72" s="43"/>
      <c r="R72" s="43"/>
    </row>
    <row r="73" ht="16.5" customHeight="1">
      <c r="A73" s="46">
        <v>15.0</v>
      </c>
      <c r="B73" s="70" t="str">
        <f>'【大井町】売上'!C18</f>
        <v>日</v>
      </c>
      <c r="C73" s="105" t="s">
        <v>26</v>
      </c>
      <c r="D73" s="49" t="str">
        <f>'管理シフト'!J49</f>
        <v/>
      </c>
      <c r="E73" s="50">
        <v>32000.0</v>
      </c>
      <c r="F73" s="51">
        <v>16000.0</v>
      </c>
      <c r="G73" s="52">
        <f>E73-F73</f>
        <v>16000</v>
      </c>
      <c r="H73" s="53"/>
      <c r="I73" s="49" t="str">
        <f>'管理シフト'!M49</f>
        <v/>
      </c>
      <c r="J73" s="106">
        <v>19000.0</v>
      </c>
      <c r="K73" s="107">
        <v>10500.0</v>
      </c>
      <c r="L73" s="108">
        <f>J73-K73</f>
        <v>8500</v>
      </c>
      <c r="M73" s="43"/>
      <c r="N73" s="43"/>
      <c r="O73" s="43"/>
      <c r="P73" s="43"/>
      <c r="Q73" s="43"/>
      <c r="R73" s="43"/>
    </row>
    <row r="74" ht="13.5" customHeight="1">
      <c r="A74" s="55"/>
      <c r="B74" s="56"/>
      <c r="C74" s="109"/>
      <c r="D74" s="110" t="s">
        <v>27</v>
      </c>
      <c r="E74" s="59">
        <v>0.0</v>
      </c>
      <c r="F74" s="59">
        <v>1.0</v>
      </c>
      <c r="G74" s="60">
        <v>1.0</v>
      </c>
      <c r="H74" s="53"/>
      <c r="I74" s="110" t="s">
        <v>27</v>
      </c>
      <c r="J74" s="59">
        <v>0.0</v>
      </c>
      <c r="K74" s="59">
        <v>1.0</v>
      </c>
      <c r="L74" s="60">
        <v>0.0</v>
      </c>
      <c r="M74" s="43"/>
      <c r="N74" s="43"/>
      <c r="O74" s="43"/>
      <c r="P74" s="43"/>
      <c r="Q74" s="43"/>
      <c r="R74" s="43"/>
    </row>
    <row r="75" ht="16.5" customHeight="1">
      <c r="A75" s="55"/>
      <c r="B75" s="56"/>
      <c r="C75" s="105" t="s">
        <v>28</v>
      </c>
      <c r="D75" s="62" t="str">
        <f>'管理シフト'!J50</f>
        <v/>
      </c>
      <c r="E75" s="50">
        <v>0.0</v>
      </c>
      <c r="F75" s="51">
        <v>0.0</v>
      </c>
      <c r="G75" s="52">
        <f>E75-F75</f>
        <v>0</v>
      </c>
      <c r="H75" s="53"/>
      <c r="I75" s="62" t="str">
        <f>'管理シフト'!M50</f>
        <v/>
      </c>
      <c r="J75" s="106">
        <v>17000.0</v>
      </c>
      <c r="K75" s="107">
        <v>8500.0</v>
      </c>
      <c r="L75" s="108">
        <f>J75-K75</f>
        <v>8500</v>
      </c>
      <c r="M75" s="43"/>
      <c r="N75" s="54" t="s">
        <v>13</v>
      </c>
      <c r="O75" s="54" t="s">
        <v>14</v>
      </c>
      <c r="P75" s="54" t="s">
        <v>15</v>
      </c>
      <c r="Q75" s="43"/>
      <c r="R75" s="43"/>
    </row>
    <row r="76" ht="13.5" customHeight="1">
      <c r="A76" s="63"/>
      <c r="B76" s="64"/>
      <c r="C76" s="109"/>
      <c r="D76" s="110" t="s">
        <v>27</v>
      </c>
      <c r="E76" s="59"/>
      <c r="F76" s="59"/>
      <c r="G76" s="60"/>
      <c r="H76" s="53"/>
      <c r="I76" s="110" t="s">
        <v>27</v>
      </c>
      <c r="J76" s="59">
        <v>0.0</v>
      </c>
      <c r="K76" s="59">
        <v>1.0</v>
      </c>
      <c r="L76" s="60">
        <v>0.0</v>
      </c>
      <c r="M76" s="43"/>
      <c r="N76" s="43">
        <f t="shared" ref="N76:P76" si="29">E74+E76+J74+J76</f>
        <v>0</v>
      </c>
      <c r="O76" s="43">
        <f t="shared" si="29"/>
        <v>3</v>
      </c>
      <c r="P76" s="43">
        <f t="shared" si="29"/>
        <v>1</v>
      </c>
      <c r="Q76" s="43"/>
      <c r="R76" s="43"/>
    </row>
    <row r="77" ht="13.5" customHeight="1">
      <c r="A77" s="43"/>
      <c r="B77" s="65"/>
      <c r="C77" s="69"/>
      <c r="D77" s="73"/>
      <c r="E77" s="67"/>
      <c r="F77" s="67"/>
      <c r="G77" s="53"/>
      <c r="H77" s="53"/>
      <c r="I77" s="117"/>
      <c r="J77" s="113">
        <f t="shared" ref="J77:K77" si="30">E73+E75+J73+J75</f>
        <v>68000</v>
      </c>
      <c r="K77" s="113">
        <f t="shared" si="30"/>
        <v>35000</v>
      </c>
      <c r="L77" s="113">
        <f>SUM(G73+G75+L73+L75+Q73+Q75)</f>
        <v>33000</v>
      </c>
      <c r="M77" s="43"/>
      <c r="N77" s="43"/>
      <c r="O77" s="43"/>
      <c r="P77" s="43"/>
      <c r="Q77" s="43"/>
      <c r="R77" s="43"/>
    </row>
    <row r="78" ht="16.5" customHeight="1">
      <c r="A78" s="46">
        <v>16.0</v>
      </c>
      <c r="B78" s="70" t="str">
        <f>'【大井町】売上'!C19</f>
        <v>月</v>
      </c>
      <c r="C78" s="105" t="s">
        <v>26</v>
      </c>
      <c r="D78" s="49" t="str">
        <f>'管理シフト'!J52</f>
        <v/>
      </c>
      <c r="E78" s="50"/>
      <c r="F78" s="51"/>
      <c r="G78" s="52">
        <f>E78-F78</f>
        <v>0</v>
      </c>
      <c r="H78" s="53"/>
      <c r="I78" s="49" t="str">
        <f>'管理シフト'!M52</f>
        <v/>
      </c>
      <c r="J78" s="106">
        <v>26000.0</v>
      </c>
      <c r="K78" s="107">
        <v>14000.0</v>
      </c>
      <c r="L78" s="108">
        <f>J78-K78</f>
        <v>12000</v>
      </c>
      <c r="M78" s="43"/>
      <c r="N78" s="43"/>
      <c r="O78" s="43"/>
      <c r="P78" s="43"/>
      <c r="Q78" s="43"/>
      <c r="R78" s="43"/>
    </row>
    <row r="79" ht="13.5" customHeight="1">
      <c r="A79" s="55"/>
      <c r="B79" s="56"/>
      <c r="C79" s="109"/>
      <c r="D79" s="110" t="s">
        <v>27</v>
      </c>
      <c r="E79" s="59"/>
      <c r="F79" s="59"/>
      <c r="G79" s="60"/>
      <c r="H79" s="53"/>
      <c r="I79" s="110" t="s">
        <v>27</v>
      </c>
      <c r="J79" s="59">
        <v>0.0</v>
      </c>
      <c r="K79" s="59">
        <v>0.0</v>
      </c>
      <c r="L79" s="60">
        <v>1.0</v>
      </c>
      <c r="M79" s="43"/>
      <c r="N79" s="43"/>
      <c r="O79" s="43"/>
      <c r="P79" s="43"/>
      <c r="Q79" s="43"/>
      <c r="R79" s="43"/>
    </row>
    <row r="80" ht="16.5" customHeight="1">
      <c r="A80" s="55"/>
      <c r="B80" s="56"/>
      <c r="C80" s="105" t="s">
        <v>28</v>
      </c>
      <c r="D80" s="62" t="str">
        <f>'管理シフト'!J53</f>
        <v/>
      </c>
      <c r="E80" s="50">
        <v>32000.0</v>
      </c>
      <c r="F80" s="51">
        <v>19500.0</v>
      </c>
      <c r="G80" s="52">
        <f>E80-F80</f>
        <v>12500</v>
      </c>
      <c r="H80" s="53"/>
      <c r="I80" s="62" t="str">
        <f>'管理シフト'!M53</f>
        <v/>
      </c>
      <c r="J80" s="106">
        <v>34000.0</v>
      </c>
      <c r="K80" s="107">
        <v>19000.0</v>
      </c>
      <c r="L80" s="108">
        <f>J80-K80</f>
        <v>15000</v>
      </c>
      <c r="M80" s="43"/>
      <c r="N80" s="54" t="s">
        <v>13</v>
      </c>
      <c r="O80" s="54" t="s">
        <v>14</v>
      </c>
      <c r="P80" s="54" t="s">
        <v>15</v>
      </c>
      <c r="Q80" s="43"/>
      <c r="R80" s="43"/>
    </row>
    <row r="81" ht="13.5" customHeight="1">
      <c r="A81" s="63"/>
      <c r="B81" s="64"/>
      <c r="C81" s="109"/>
      <c r="D81" s="110" t="s">
        <v>27</v>
      </c>
      <c r="E81" s="59">
        <v>0.0</v>
      </c>
      <c r="F81" s="59">
        <v>1.0</v>
      </c>
      <c r="G81" s="60">
        <v>1.0</v>
      </c>
      <c r="H81" s="53"/>
      <c r="I81" s="110" t="s">
        <v>27</v>
      </c>
      <c r="J81" s="59">
        <v>0.0</v>
      </c>
      <c r="K81" s="59">
        <v>2.0</v>
      </c>
      <c r="L81" s="60">
        <v>0.0</v>
      </c>
      <c r="M81" s="43"/>
      <c r="N81" s="43">
        <f t="shared" ref="N81:P81" si="31">E79+E81+J79+J81</f>
        <v>0</v>
      </c>
      <c r="O81" s="43">
        <f t="shared" si="31"/>
        <v>3</v>
      </c>
      <c r="P81" s="43">
        <f t="shared" si="31"/>
        <v>2</v>
      </c>
      <c r="Q81" s="43"/>
      <c r="R81" s="43"/>
    </row>
    <row r="82" ht="13.5" customHeight="1">
      <c r="A82" s="43"/>
      <c r="B82" s="65"/>
      <c r="C82" s="53"/>
      <c r="D82" s="73"/>
      <c r="E82" s="67"/>
      <c r="F82" s="67"/>
      <c r="G82" s="53"/>
      <c r="H82" s="53"/>
      <c r="I82" s="73"/>
      <c r="J82" s="113">
        <f t="shared" ref="J82:K82" si="32">E78+E80+J78+J80</f>
        <v>92000</v>
      </c>
      <c r="K82" s="113">
        <f t="shared" si="32"/>
        <v>52500</v>
      </c>
      <c r="L82" s="113">
        <f>SUM(G78+G80+L78+L80+Q78+Q80)</f>
        <v>39500</v>
      </c>
      <c r="M82" s="43"/>
      <c r="N82" s="43"/>
      <c r="O82" s="43"/>
      <c r="P82" s="43"/>
      <c r="Q82" s="43"/>
      <c r="R82" s="43"/>
    </row>
    <row r="83" ht="16.5" customHeight="1">
      <c r="A83" s="46">
        <v>17.0</v>
      </c>
      <c r="B83" s="75" t="str">
        <f>'【大井町】売上'!C20</f>
        <v>火</v>
      </c>
      <c r="C83" s="105" t="s">
        <v>26</v>
      </c>
      <c r="D83" s="49" t="str">
        <f>'管理シフト'!J55</f>
        <v/>
      </c>
      <c r="E83" s="50">
        <v>57000.0</v>
      </c>
      <c r="F83" s="51">
        <v>31500.0</v>
      </c>
      <c r="G83" s="52">
        <f>E83-F83</f>
        <v>25500</v>
      </c>
      <c r="H83" s="53"/>
      <c r="I83" s="49" t="str">
        <f>'管理シフト'!M55</f>
        <v/>
      </c>
      <c r="J83" s="106">
        <v>15000.0</v>
      </c>
      <c r="K83" s="107">
        <v>8500.0</v>
      </c>
      <c r="L83" s="108">
        <f>J83-K83</f>
        <v>6500</v>
      </c>
      <c r="M83" s="43"/>
      <c r="N83" s="43"/>
      <c r="O83" s="43"/>
      <c r="P83" s="43"/>
      <c r="Q83" s="43"/>
      <c r="R83" s="43"/>
    </row>
    <row r="84" ht="13.5" customHeight="1">
      <c r="A84" s="55"/>
      <c r="B84" s="56"/>
      <c r="C84" s="109"/>
      <c r="D84" s="110" t="s">
        <v>27</v>
      </c>
      <c r="E84" s="59">
        <v>1.0</v>
      </c>
      <c r="F84" s="59">
        <v>3.0</v>
      </c>
      <c r="G84" s="60">
        <v>0.0</v>
      </c>
      <c r="H84" s="53"/>
      <c r="I84" s="110" t="s">
        <v>27</v>
      </c>
      <c r="J84" s="59">
        <v>0.0</v>
      </c>
      <c r="K84" s="59">
        <v>1.0</v>
      </c>
      <c r="L84" s="60">
        <v>0.0</v>
      </c>
      <c r="M84" s="43"/>
      <c r="N84" s="43"/>
      <c r="O84" s="43"/>
      <c r="P84" s="43"/>
      <c r="Q84" s="43"/>
      <c r="R84" s="43"/>
    </row>
    <row r="85" ht="16.5" customHeight="1">
      <c r="A85" s="55"/>
      <c r="B85" s="56"/>
      <c r="C85" s="105" t="s">
        <v>28</v>
      </c>
      <c r="D85" s="62" t="str">
        <f>'管理シフト'!J56</f>
        <v/>
      </c>
      <c r="E85" s="50"/>
      <c r="F85" s="51"/>
      <c r="G85" s="52">
        <f>E85-F85</f>
        <v>0</v>
      </c>
      <c r="H85" s="53"/>
      <c r="I85" s="62" t="str">
        <f>'管理シフト'!M56</f>
        <v/>
      </c>
      <c r="J85" s="106">
        <v>18000.0</v>
      </c>
      <c r="K85" s="107">
        <v>13600.0</v>
      </c>
      <c r="L85" s="108">
        <f>J85-K85</f>
        <v>4400</v>
      </c>
      <c r="M85" s="43"/>
      <c r="N85" s="54" t="s">
        <v>13</v>
      </c>
      <c r="O85" s="54" t="s">
        <v>14</v>
      </c>
      <c r="P85" s="54" t="s">
        <v>15</v>
      </c>
      <c r="Q85" s="43"/>
      <c r="R85" s="43"/>
    </row>
    <row r="86" ht="13.5" customHeight="1">
      <c r="A86" s="63"/>
      <c r="B86" s="64"/>
      <c r="C86" s="109"/>
      <c r="D86" s="110" t="s">
        <v>27</v>
      </c>
      <c r="E86" s="59"/>
      <c r="F86" s="59"/>
      <c r="G86" s="60"/>
      <c r="H86" s="53"/>
      <c r="I86" s="110" t="s">
        <v>27</v>
      </c>
      <c r="J86" s="59">
        <v>0.0</v>
      </c>
      <c r="K86" s="59">
        <v>1.0</v>
      </c>
      <c r="L86" s="60">
        <v>0.0</v>
      </c>
      <c r="M86" s="43"/>
      <c r="N86" s="43">
        <f t="shared" ref="N86:P86" si="33">E84+E86+J84+J86</f>
        <v>1</v>
      </c>
      <c r="O86" s="43">
        <f t="shared" si="33"/>
        <v>5</v>
      </c>
      <c r="P86" s="43">
        <f t="shared" si="33"/>
        <v>0</v>
      </c>
      <c r="Q86" s="43"/>
      <c r="R86" s="43"/>
    </row>
    <row r="87" ht="13.5" customHeight="1">
      <c r="A87" s="43"/>
      <c r="B87" s="65"/>
      <c r="C87" s="53"/>
      <c r="D87" s="73"/>
      <c r="E87" s="67"/>
      <c r="F87" s="67"/>
      <c r="G87" s="53"/>
      <c r="H87" s="53"/>
      <c r="I87" s="73"/>
      <c r="J87" s="113">
        <f t="shared" ref="J87:K87" si="34">E83+E85+J83+J85</f>
        <v>90000</v>
      </c>
      <c r="K87" s="113">
        <f t="shared" si="34"/>
        <v>53600</v>
      </c>
      <c r="L87" s="113">
        <f>SUM(G83+G85+L83+L85+Q83+Q85)</f>
        <v>36400</v>
      </c>
      <c r="M87" s="43"/>
      <c r="N87" s="43"/>
      <c r="O87" s="43"/>
      <c r="P87" s="43"/>
      <c r="Q87" s="43"/>
      <c r="R87" s="43"/>
    </row>
    <row r="88" ht="16.5" customHeight="1">
      <c r="A88" s="46">
        <v>18.0</v>
      </c>
      <c r="B88" s="70" t="str">
        <f>'【大井町】売上'!C21</f>
        <v>水</v>
      </c>
      <c r="C88" s="105" t="s">
        <v>26</v>
      </c>
      <c r="D88" s="49" t="str">
        <f>'管理シフト'!J58</f>
        <v/>
      </c>
      <c r="E88" s="50"/>
      <c r="F88" s="51"/>
      <c r="G88" s="52">
        <f>E88-F88</f>
        <v>0</v>
      </c>
      <c r="H88" s="53"/>
      <c r="I88" s="49" t="str">
        <f>'管理シフト'!M58</f>
        <v/>
      </c>
      <c r="J88" s="106">
        <v>29000.0</v>
      </c>
      <c r="K88" s="107">
        <v>16500.0</v>
      </c>
      <c r="L88" s="108">
        <f>J88-K88</f>
        <v>12500</v>
      </c>
      <c r="M88" s="43"/>
      <c r="N88" s="43"/>
      <c r="O88" s="43"/>
      <c r="P88" s="43"/>
      <c r="Q88" s="43"/>
      <c r="R88" s="43"/>
    </row>
    <row r="89" ht="13.5" customHeight="1">
      <c r="A89" s="55"/>
      <c r="B89" s="56"/>
      <c r="C89" s="109"/>
      <c r="D89" s="110" t="s">
        <v>27</v>
      </c>
      <c r="E89" s="59"/>
      <c r="F89" s="59"/>
      <c r="G89" s="60"/>
      <c r="H89" s="53"/>
      <c r="I89" s="110" t="s">
        <v>27</v>
      </c>
      <c r="J89" s="59">
        <v>0.0</v>
      </c>
      <c r="K89" s="59">
        <v>2.0</v>
      </c>
      <c r="L89" s="60">
        <v>0.0</v>
      </c>
      <c r="M89" s="43"/>
      <c r="N89" s="43"/>
      <c r="O89" s="43"/>
      <c r="P89" s="43"/>
      <c r="Q89" s="43"/>
      <c r="R89" s="43"/>
    </row>
    <row r="90" ht="16.5" customHeight="1">
      <c r="A90" s="55"/>
      <c r="B90" s="56"/>
      <c r="C90" s="105" t="s">
        <v>28</v>
      </c>
      <c r="D90" s="62" t="str">
        <f>'管理シフト'!J59</f>
        <v/>
      </c>
      <c r="E90" s="50">
        <v>34000.0</v>
      </c>
      <c r="F90" s="51">
        <v>20000.0</v>
      </c>
      <c r="G90" s="52">
        <f>E90-F90</f>
        <v>14000</v>
      </c>
      <c r="H90" s="53"/>
      <c r="I90" s="62" t="str">
        <f>'管理シフト'!M59</f>
        <v/>
      </c>
      <c r="J90" s="106">
        <v>0.0</v>
      </c>
      <c r="K90" s="107">
        <v>0.0</v>
      </c>
      <c r="L90" s="108">
        <f>J90-K90</f>
        <v>0</v>
      </c>
      <c r="M90" s="43"/>
      <c r="N90" s="54" t="s">
        <v>13</v>
      </c>
      <c r="O90" s="54" t="s">
        <v>14</v>
      </c>
      <c r="P90" s="54" t="s">
        <v>15</v>
      </c>
      <c r="Q90" s="43"/>
      <c r="R90" s="43"/>
    </row>
    <row r="91" ht="13.5" customHeight="1">
      <c r="A91" s="63"/>
      <c r="B91" s="64"/>
      <c r="C91" s="109"/>
      <c r="D91" s="110" t="s">
        <v>27</v>
      </c>
      <c r="E91" s="59">
        <v>0.0</v>
      </c>
      <c r="F91" s="59">
        <v>1.0</v>
      </c>
      <c r="G91" s="60">
        <v>1.0</v>
      </c>
      <c r="H91" s="53"/>
      <c r="I91" s="110" t="s">
        <v>27</v>
      </c>
      <c r="J91" s="59"/>
      <c r="K91" s="59"/>
      <c r="L91" s="60"/>
      <c r="M91" s="43"/>
      <c r="N91" s="43">
        <f t="shared" ref="N91:P91" si="35">E89+E91+J89+J91</f>
        <v>0</v>
      </c>
      <c r="O91" s="43">
        <f t="shared" si="35"/>
        <v>3</v>
      </c>
      <c r="P91" s="43">
        <f t="shared" si="35"/>
        <v>1</v>
      </c>
      <c r="Q91" s="43"/>
      <c r="R91" s="43"/>
    </row>
    <row r="92" ht="13.5" customHeight="1">
      <c r="A92" s="43"/>
      <c r="B92" s="65"/>
      <c r="C92" s="53"/>
      <c r="D92" s="73"/>
      <c r="E92" s="67"/>
      <c r="F92" s="67"/>
      <c r="G92" s="53"/>
      <c r="H92" s="53"/>
      <c r="I92" s="73"/>
      <c r="J92" s="113">
        <f t="shared" ref="J92:K92" si="36">E88+E90+J88+J90</f>
        <v>63000</v>
      </c>
      <c r="K92" s="113">
        <f t="shared" si="36"/>
        <v>36500</v>
      </c>
      <c r="L92" s="113">
        <f>SUM(G88+G90+L88+L90+Q88+Q90)</f>
        <v>26500</v>
      </c>
      <c r="M92" s="43"/>
      <c r="N92" s="43"/>
      <c r="O92" s="43"/>
      <c r="P92" s="43"/>
      <c r="Q92" s="43"/>
      <c r="R92" s="43"/>
    </row>
    <row r="93" ht="16.5" customHeight="1">
      <c r="A93" s="46">
        <v>19.0</v>
      </c>
      <c r="B93" s="70" t="str">
        <f>'【大井町】売上'!C22</f>
        <v>木</v>
      </c>
      <c r="C93" s="105" t="s">
        <v>26</v>
      </c>
      <c r="D93" s="49" t="str">
        <f>'管理シフト'!J61</f>
        <v/>
      </c>
      <c r="E93" s="50">
        <v>30000.0</v>
      </c>
      <c r="F93" s="51">
        <v>17772.0</v>
      </c>
      <c r="G93" s="52">
        <f>E93-F93</f>
        <v>12228</v>
      </c>
      <c r="H93" s="53"/>
      <c r="I93" s="49" t="str">
        <f>'管理シフト'!M61</f>
        <v/>
      </c>
      <c r="J93" s="106">
        <v>35000.0</v>
      </c>
      <c r="K93" s="107">
        <v>19500.0</v>
      </c>
      <c r="L93" s="108">
        <f>J93-K93</f>
        <v>15500</v>
      </c>
      <c r="M93" s="43"/>
      <c r="N93" s="43"/>
      <c r="O93" s="43"/>
      <c r="P93" s="43"/>
      <c r="Q93" s="43"/>
      <c r="R93" s="43"/>
    </row>
    <row r="94" ht="13.5" customHeight="1">
      <c r="A94" s="55"/>
      <c r="B94" s="56"/>
      <c r="C94" s="109"/>
      <c r="D94" s="110" t="s">
        <v>27</v>
      </c>
      <c r="E94" s="59">
        <v>0.0</v>
      </c>
      <c r="F94" s="59">
        <v>2.0</v>
      </c>
      <c r="G94" s="60">
        <v>0.0</v>
      </c>
      <c r="H94" s="53"/>
      <c r="I94" s="110" t="s">
        <v>27</v>
      </c>
      <c r="J94" s="59">
        <v>1.0</v>
      </c>
      <c r="K94" s="59">
        <v>1.0</v>
      </c>
      <c r="L94" s="60">
        <v>0.0</v>
      </c>
      <c r="M94" s="43"/>
      <c r="N94" s="43"/>
      <c r="O94" s="43"/>
      <c r="P94" s="43"/>
      <c r="Q94" s="43"/>
      <c r="R94" s="43"/>
    </row>
    <row r="95" ht="16.5" customHeight="1">
      <c r="A95" s="55"/>
      <c r="B95" s="56"/>
      <c r="C95" s="105" t="s">
        <v>28</v>
      </c>
      <c r="D95" s="62" t="str">
        <f>'管理シフト'!J62</f>
        <v/>
      </c>
      <c r="E95" s="50"/>
      <c r="F95" s="51"/>
      <c r="G95" s="52">
        <f>E95-F95</f>
        <v>0</v>
      </c>
      <c r="H95" s="53"/>
      <c r="I95" s="62" t="str">
        <f>'管理シフト'!M62</f>
        <v/>
      </c>
      <c r="J95" s="106">
        <v>14000.0</v>
      </c>
      <c r="K95" s="107">
        <v>8492.0</v>
      </c>
      <c r="L95" s="108">
        <f>J95-K95</f>
        <v>5508</v>
      </c>
      <c r="M95" s="43"/>
      <c r="N95" s="54" t="s">
        <v>13</v>
      </c>
      <c r="O95" s="54" t="s">
        <v>14</v>
      </c>
      <c r="P95" s="54" t="s">
        <v>15</v>
      </c>
      <c r="Q95" s="43"/>
      <c r="R95" s="43"/>
    </row>
    <row r="96" ht="13.5" customHeight="1">
      <c r="A96" s="63"/>
      <c r="B96" s="64"/>
      <c r="C96" s="109"/>
      <c r="D96" s="110" t="s">
        <v>27</v>
      </c>
      <c r="E96" s="59"/>
      <c r="F96" s="59"/>
      <c r="G96" s="60"/>
      <c r="H96" s="53"/>
      <c r="I96" s="110" t="s">
        <v>27</v>
      </c>
      <c r="J96" s="59">
        <v>0.0</v>
      </c>
      <c r="K96" s="59">
        <v>1.0</v>
      </c>
      <c r="L96" s="60">
        <v>0.0</v>
      </c>
      <c r="M96" s="43"/>
      <c r="N96" s="43">
        <f t="shared" ref="N96:P96" si="37">E94+E96+J94+J96</f>
        <v>1</v>
      </c>
      <c r="O96" s="43">
        <f t="shared" si="37"/>
        <v>4</v>
      </c>
      <c r="P96" s="43">
        <f t="shared" si="37"/>
        <v>0</v>
      </c>
      <c r="Q96" s="43"/>
      <c r="R96" s="43"/>
    </row>
    <row r="97" ht="13.5" customHeight="1">
      <c r="A97" s="43"/>
      <c r="B97" s="65"/>
      <c r="C97" s="53"/>
      <c r="D97" s="73"/>
      <c r="E97" s="67"/>
      <c r="F97" s="67"/>
      <c r="G97" s="53"/>
      <c r="H97" s="53"/>
      <c r="I97" s="117"/>
      <c r="J97" s="113">
        <f t="shared" ref="J97:K97" si="38">E93+E95+J93+J95</f>
        <v>79000</v>
      </c>
      <c r="K97" s="113">
        <f t="shared" si="38"/>
        <v>45764</v>
      </c>
      <c r="L97" s="113">
        <f>SUM(G93+G95+L93+L95+Q93+Q95)</f>
        <v>33236</v>
      </c>
      <c r="M97" s="43"/>
      <c r="N97" s="43"/>
      <c r="O97" s="43"/>
      <c r="P97" s="43"/>
      <c r="Q97" s="43"/>
      <c r="R97" s="43"/>
    </row>
    <row r="98" ht="16.5" customHeight="1">
      <c r="A98" s="46">
        <v>20.0</v>
      </c>
      <c r="B98" s="70" t="str">
        <f>'【大井町】売上'!C23</f>
        <v>金</v>
      </c>
      <c r="C98" s="105" t="s">
        <v>26</v>
      </c>
      <c r="D98" s="49" t="str">
        <f>'管理シフト'!J64</f>
        <v/>
      </c>
      <c r="E98" s="50">
        <v>12000.0</v>
      </c>
      <c r="F98" s="51">
        <v>6000.0</v>
      </c>
      <c r="G98" s="52">
        <f>E98-F98</f>
        <v>6000</v>
      </c>
      <c r="H98" s="53"/>
      <c r="I98" s="49" t="str">
        <f>'管理シフト'!M64</f>
        <v/>
      </c>
      <c r="J98" s="106">
        <v>15000.0</v>
      </c>
      <c r="K98" s="107">
        <v>8500.0</v>
      </c>
      <c r="L98" s="108">
        <f>J98-K98</f>
        <v>6500</v>
      </c>
      <c r="M98" s="43"/>
      <c r="N98" s="43"/>
      <c r="O98" s="43"/>
      <c r="P98" s="43"/>
      <c r="Q98" s="43"/>
      <c r="R98" s="43"/>
    </row>
    <row r="99" ht="13.5" customHeight="1">
      <c r="A99" s="55"/>
      <c r="B99" s="56"/>
      <c r="C99" s="109"/>
      <c r="D99" s="110" t="s">
        <v>27</v>
      </c>
      <c r="E99" s="59">
        <v>0.0</v>
      </c>
      <c r="F99" s="59">
        <v>1.0</v>
      </c>
      <c r="G99" s="60">
        <v>0.0</v>
      </c>
      <c r="H99" s="53"/>
      <c r="I99" s="110" t="s">
        <v>27</v>
      </c>
      <c r="J99" s="59">
        <v>0.0</v>
      </c>
      <c r="K99" s="59">
        <v>1.0</v>
      </c>
      <c r="L99" s="60">
        <v>0.0</v>
      </c>
      <c r="M99" s="43"/>
      <c r="N99" s="43"/>
      <c r="O99" s="43"/>
      <c r="P99" s="43"/>
      <c r="Q99" s="43"/>
      <c r="R99" s="43"/>
    </row>
    <row r="100" ht="16.5" customHeight="1">
      <c r="A100" s="55"/>
      <c r="B100" s="56"/>
      <c r="C100" s="105" t="s">
        <v>28</v>
      </c>
      <c r="D100" s="62" t="str">
        <f>'管理シフト'!J65</f>
        <v/>
      </c>
      <c r="E100" s="50">
        <v>14000.0</v>
      </c>
      <c r="F100" s="51">
        <v>7849.0</v>
      </c>
      <c r="G100" s="52">
        <f>E100-F100</f>
        <v>6151</v>
      </c>
      <c r="H100" s="53"/>
      <c r="I100" s="62" t="str">
        <f>'管理シフト'!M65</f>
        <v/>
      </c>
      <c r="J100" s="106">
        <v>19000.0</v>
      </c>
      <c r="K100" s="107">
        <v>11000.0</v>
      </c>
      <c r="L100" s="108">
        <f>J100-K100</f>
        <v>8000</v>
      </c>
      <c r="M100" s="43"/>
      <c r="N100" s="54" t="s">
        <v>13</v>
      </c>
      <c r="O100" s="54" t="s">
        <v>14</v>
      </c>
      <c r="P100" s="54" t="s">
        <v>15</v>
      </c>
      <c r="Q100" s="43"/>
      <c r="R100" s="43"/>
    </row>
    <row r="101" ht="13.5" customHeight="1">
      <c r="A101" s="63"/>
      <c r="B101" s="64"/>
      <c r="C101" s="109"/>
      <c r="D101" s="110" t="s">
        <v>27</v>
      </c>
      <c r="E101" s="59">
        <v>0.0</v>
      </c>
      <c r="F101" s="59">
        <v>0.0</v>
      </c>
      <c r="G101" s="60">
        <v>1.0</v>
      </c>
      <c r="H101" s="53"/>
      <c r="I101" s="110" t="s">
        <v>27</v>
      </c>
      <c r="J101" s="59">
        <v>0.0</v>
      </c>
      <c r="K101" s="59">
        <v>0.0</v>
      </c>
      <c r="L101" s="60">
        <v>1.0</v>
      </c>
      <c r="M101" s="43"/>
      <c r="N101" s="43">
        <f t="shared" ref="N101:P101" si="39">E99+E101+J99+J101</f>
        <v>0</v>
      </c>
      <c r="O101" s="43">
        <f t="shared" si="39"/>
        <v>2</v>
      </c>
      <c r="P101" s="43">
        <f t="shared" si="39"/>
        <v>2</v>
      </c>
      <c r="Q101" s="43"/>
      <c r="R101" s="43"/>
    </row>
    <row r="102" ht="13.5" customHeight="1">
      <c r="A102" s="43"/>
      <c r="B102" s="65"/>
      <c r="C102" s="53"/>
      <c r="D102" s="73"/>
      <c r="E102" s="67"/>
      <c r="F102" s="67"/>
      <c r="G102" s="53"/>
      <c r="H102" s="53"/>
      <c r="I102" s="73"/>
      <c r="J102" s="113">
        <f t="shared" ref="J102:K102" si="40">E98+E100+J98+J100</f>
        <v>60000</v>
      </c>
      <c r="K102" s="113">
        <f t="shared" si="40"/>
        <v>33349</v>
      </c>
      <c r="L102" s="113">
        <f>SUM(G98+G100+L98+L100+Q98+Q100)</f>
        <v>26651</v>
      </c>
      <c r="M102" s="43"/>
      <c r="N102" s="43"/>
      <c r="O102" s="43"/>
      <c r="P102" s="43"/>
      <c r="Q102" s="43"/>
      <c r="R102" s="43"/>
    </row>
    <row r="103" ht="16.5" customHeight="1">
      <c r="A103" s="46">
        <v>21.0</v>
      </c>
      <c r="B103" s="70" t="str">
        <f>'【大井町】売上'!C24</f>
        <v>土</v>
      </c>
      <c r="C103" s="105" t="s">
        <v>26</v>
      </c>
      <c r="D103" s="49" t="str">
        <f>'管理シフト'!J67</f>
        <v/>
      </c>
      <c r="E103" s="50"/>
      <c r="F103" s="51"/>
      <c r="G103" s="52">
        <f>E103-F103</f>
        <v>0</v>
      </c>
      <c r="H103" s="53"/>
      <c r="I103" s="49" t="str">
        <f>'管理シフト'!M67</f>
        <v/>
      </c>
      <c r="J103" s="106">
        <v>14000.0</v>
      </c>
      <c r="K103" s="107">
        <v>8000.0</v>
      </c>
      <c r="L103" s="108">
        <f>J103-K103</f>
        <v>6000</v>
      </c>
      <c r="M103" s="43"/>
      <c r="N103" s="43"/>
      <c r="O103" s="43"/>
      <c r="P103" s="43"/>
      <c r="Q103" s="43"/>
      <c r="R103" s="43"/>
    </row>
    <row r="104" ht="13.5" customHeight="1">
      <c r="A104" s="55"/>
      <c r="B104" s="56"/>
      <c r="C104" s="109"/>
      <c r="D104" s="110" t="s">
        <v>27</v>
      </c>
      <c r="E104" s="59"/>
      <c r="F104" s="59"/>
      <c r="G104" s="60"/>
      <c r="H104" s="53"/>
      <c r="I104" s="110" t="s">
        <v>27</v>
      </c>
      <c r="J104" s="59">
        <v>0.0</v>
      </c>
      <c r="K104" s="59">
        <v>0.0</v>
      </c>
      <c r="L104" s="60">
        <v>1.0</v>
      </c>
      <c r="M104" s="43"/>
      <c r="N104" s="43"/>
      <c r="O104" s="43"/>
      <c r="P104" s="43"/>
      <c r="Q104" s="43"/>
      <c r="R104" s="43"/>
    </row>
    <row r="105" ht="16.5" customHeight="1">
      <c r="A105" s="55"/>
      <c r="B105" s="56"/>
      <c r="C105" s="105" t="s">
        <v>28</v>
      </c>
      <c r="D105" s="62" t="str">
        <f>'管理シフト'!J68</f>
        <v/>
      </c>
      <c r="E105" s="50">
        <v>14000.0</v>
      </c>
      <c r="F105" s="51">
        <v>8000.0</v>
      </c>
      <c r="G105" s="52">
        <f>E105-F105</f>
        <v>6000</v>
      </c>
      <c r="H105" s="53"/>
      <c r="I105" s="49" t="str">
        <f>'管理シフト'!M68</f>
        <v/>
      </c>
      <c r="J105" s="106">
        <v>18000.0</v>
      </c>
      <c r="K105" s="107">
        <v>10000.0</v>
      </c>
      <c r="L105" s="108">
        <f>J105-K105</f>
        <v>8000</v>
      </c>
      <c r="M105" s="43"/>
      <c r="N105" s="54" t="s">
        <v>13</v>
      </c>
      <c r="O105" s="54" t="s">
        <v>14</v>
      </c>
      <c r="P105" s="54" t="s">
        <v>15</v>
      </c>
      <c r="Q105" s="43"/>
      <c r="R105" s="43"/>
    </row>
    <row r="106" ht="13.5" customHeight="1">
      <c r="A106" s="63"/>
      <c r="B106" s="64"/>
      <c r="C106" s="109"/>
      <c r="D106" s="110" t="s">
        <v>27</v>
      </c>
      <c r="E106" s="59">
        <v>1.0</v>
      </c>
      <c r="F106" s="59">
        <v>0.0</v>
      </c>
      <c r="G106" s="60">
        <v>0.0</v>
      </c>
      <c r="H106" s="53"/>
      <c r="I106" s="110" t="s">
        <v>27</v>
      </c>
      <c r="J106" s="59">
        <v>1.0</v>
      </c>
      <c r="K106" s="59">
        <v>0.0</v>
      </c>
      <c r="L106" s="60">
        <v>0.0</v>
      </c>
      <c r="M106" s="43"/>
      <c r="N106" s="43">
        <f t="shared" ref="N106:P106" si="41">E104+E106+J104+J106</f>
        <v>2</v>
      </c>
      <c r="O106" s="43">
        <f t="shared" si="41"/>
        <v>0</v>
      </c>
      <c r="P106" s="43">
        <f t="shared" si="41"/>
        <v>1</v>
      </c>
      <c r="Q106" s="43"/>
      <c r="R106" s="43"/>
    </row>
    <row r="107" ht="13.5" customHeight="1">
      <c r="A107" s="43"/>
      <c r="B107" s="65"/>
      <c r="C107" s="53"/>
      <c r="D107" s="73"/>
      <c r="E107" s="67"/>
      <c r="F107" s="67"/>
      <c r="G107" s="53"/>
      <c r="H107" s="53"/>
      <c r="I107" s="73"/>
      <c r="J107" s="113">
        <f t="shared" ref="J107:K107" si="42">E103+E105+J103+J105</f>
        <v>46000</v>
      </c>
      <c r="K107" s="113">
        <f t="shared" si="42"/>
        <v>26000</v>
      </c>
      <c r="L107" s="113">
        <f>SUM(G103+G105+L103+L105+Q103+Q105)</f>
        <v>20000</v>
      </c>
      <c r="M107" s="43"/>
      <c r="N107" s="43"/>
      <c r="O107" s="43"/>
      <c r="P107" s="43"/>
      <c r="Q107" s="43"/>
      <c r="R107" s="43"/>
    </row>
    <row r="108" ht="16.5" customHeight="1">
      <c r="A108" s="46">
        <v>22.0</v>
      </c>
      <c r="B108" s="70" t="str">
        <f>'【大井町】売上'!C25</f>
        <v>日</v>
      </c>
      <c r="C108" s="118" t="s">
        <v>26</v>
      </c>
      <c r="D108" s="76" t="str">
        <f>'管理シフト'!J70</f>
        <v/>
      </c>
      <c r="E108" s="80">
        <v>13000.0</v>
      </c>
      <c r="F108" s="81">
        <v>7500.0</v>
      </c>
      <c r="G108" s="78">
        <f>E108-F108</f>
        <v>5500</v>
      </c>
      <c r="H108" s="79"/>
      <c r="I108" s="76" t="str">
        <f>'管理シフト'!M70</f>
        <v/>
      </c>
      <c r="J108" s="119">
        <v>15000.0</v>
      </c>
      <c r="K108" s="120">
        <v>8500.0</v>
      </c>
      <c r="L108" s="121">
        <f>J108-K108</f>
        <v>6500</v>
      </c>
      <c r="M108" s="43"/>
      <c r="N108" s="43"/>
      <c r="O108" s="43"/>
      <c r="P108" s="43"/>
      <c r="Q108" s="43"/>
      <c r="R108" s="43"/>
    </row>
    <row r="109" ht="13.5" customHeight="1">
      <c r="A109" s="55"/>
      <c r="B109" s="56"/>
      <c r="C109" s="109"/>
      <c r="D109" s="122" t="s">
        <v>27</v>
      </c>
      <c r="E109" s="77">
        <v>1.0</v>
      </c>
      <c r="F109" s="77">
        <v>0.0</v>
      </c>
      <c r="G109" s="84">
        <v>0.0</v>
      </c>
      <c r="H109" s="79"/>
      <c r="I109" s="122" t="s">
        <v>27</v>
      </c>
      <c r="J109" s="77">
        <v>0.0</v>
      </c>
      <c r="K109" s="77">
        <v>1.0</v>
      </c>
      <c r="L109" s="84">
        <v>0.0</v>
      </c>
      <c r="M109" s="43"/>
      <c r="N109" s="43"/>
      <c r="O109" s="43"/>
      <c r="P109" s="43"/>
      <c r="Q109" s="43"/>
      <c r="R109" s="43"/>
    </row>
    <row r="110" ht="16.5" customHeight="1">
      <c r="A110" s="55"/>
      <c r="B110" s="56"/>
      <c r="C110" s="118" t="s">
        <v>28</v>
      </c>
      <c r="D110" s="85" t="str">
        <f>'管理シフト'!J71</f>
        <v/>
      </c>
      <c r="E110" s="80">
        <v>26000.0</v>
      </c>
      <c r="F110" s="81">
        <v>13000.0</v>
      </c>
      <c r="G110" s="78">
        <f>E110-F110</f>
        <v>13000</v>
      </c>
      <c r="H110" s="79"/>
      <c r="I110" s="85" t="str">
        <f>'管理シフト'!M71</f>
        <v/>
      </c>
      <c r="J110" s="119">
        <v>12000.0</v>
      </c>
      <c r="K110" s="120">
        <v>6000.0</v>
      </c>
      <c r="L110" s="121">
        <f>J110-K110</f>
        <v>6000</v>
      </c>
      <c r="M110" s="43"/>
      <c r="N110" s="54" t="s">
        <v>13</v>
      </c>
      <c r="O110" s="54" t="s">
        <v>14</v>
      </c>
      <c r="P110" s="54" t="s">
        <v>15</v>
      </c>
      <c r="Q110" s="43"/>
      <c r="R110" s="43"/>
    </row>
    <row r="111" ht="13.5" customHeight="1">
      <c r="A111" s="63"/>
      <c r="B111" s="64"/>
      <c r="C111" s="109"/>
      <c r="D111" s="122" t="s">
        <v>27</v>
      </c>
      <c r="E111" s="77">
        <v>2.0</v>
      </c>
      <c r="F111" s="77">
        <v>0.0</v>
      </c>
      <c r="G111" s="84">
        <v>0.0</v>
      </c>
      <c r="H111" s="79"/>
      <c r="I111" s="122" t="s">
        <v>27</v>
      </c>
      <c r="J111" s="77">
        <v>0.0</v>
      </c>
      <c r="K111" s="77">
        <v>1.0</v>
      </c>
      <c r="L111" s="84">
        <v>0.0</v>
      </c>
      <c r="M111" s="43"/>
      <c r="N111" s="43">
        <f t="shared" ref="N111:P111" si="43">E109+E111+J109+J111</f>
        <v>3</v>
      </c>
      <c r="O111" s="43">
        <f t="shared" si="43"/>
        <v>2</v>
      </c>
      <c r="P111" s="43">
        <f t="shared" si="43"/>
        <v>0</v>
      </c>
      <c r="Q111" s="43"/>
      <c r="R111" s="43"/>
    </row>
    <row r="112" ht="13.5" customHeight="1">
      <c r="A112" s="43"/>
      <c r="B112" s="65"/>
      <c r="C112" s="79"/>
      <c r="D112" s="85" t="str">
        <f>'管理シフト'!J103</f>
        <v/>
      </c>
      <c r="E112" s="88"/>
      <c r="F112" s="88"/>
      <c r="G112" s="79"/>
      <c r="H112" s="79"/>
      <c r="I112" s="86"/>
      <c r="J112" s="123">
        <f t="shared" ref="J112:K112" si="44">E108+E110+J108+J110</f>
        <v>66000</v>
      </c>
      <c r="K112" s="123">
        <f t="shared" si="44"/>
        <v>35000</v>
      </c>
      <c r="L112" s="123">
        <f>SUM(G108+G110+L108+L110+Q108+Q110)</f>
        <v>31000</v>
      </c>
      <c r="M112" s="43"/>
      <c r="N112" s="43"/>
      <c r="O112" s="43"/>
      <c r="P112" s="43"/>
      <c r="Q112" s="43"/>
      <c r="R112" s="43"/>
    </row>
    <row r="113" ht="16.5" customHeight="1">
      <c r="A113" s="46">
        <v>23.0</v>
      </c>
      <c r="B113" s="70" t="str">
        <f>'【大井町】売上'!C26</f>
        <v>月</v>
      </c>
      <c r="C113" s="118" t="s">
        <v>26</v>
      </c>
      <c r="D113" s="85" t="str">
        <f>'管理シフト'!J72</f>
        <v/>
      </c>
      <c r="E113" s="80"/>
      <c r="F113" s="81"/>
      <c r="G113" s="78">
        <f>E113-F113</f>
        <v>0</v>
      </c>
      <c r="H113" s="79"/>
      <c r="I113" s="76" t="str">
        <f>'管理シフト'!M73</f>
        <v/>
      </c>
      <c r="J113" s="119"/>
      <c r="K113" s="120"/>
      <c r="L113" s="121">
        <f>J113-K113</f>
        <v>0</v>
      </c>
      <c r="M113" s="43"/>
      <c r="N113" s="43"/>
      <c r="O113" s="43"/>
      <c r="P113" s="43"/>
      <c r="Q113" s="43"/>
      <c r="R113" s="43"/>
    </row>
    <row r="114" ht="13.5" customHeight="1">
      <c r="A114" s="55"/>
      <c r="B114" s="56"/>
      <c r="C114" s="109"/>
      <c r="D114" s="122" t="s">
        <v>27</v>
      </c>
      <c r="E114" s="77"/>
      <c r="F114" s="77"/>
      <c r="G114" s="84"/>
      <c r="H114" s="79"/>
      <c r="I114" s="122" t="s">
        <v>27</v>
      </c>
      <c r="J114" s="77"/>
      <c r="K114" s="77"/>
      <c r="L114" s="84"/>
      <c r="M114" s="43"/>
      <c r="N114" s="43"/>
      <c r="O114" s="43"/>
      <c r="P114" s="43"/>
      <c r="Q114" s="43"/>
      <c r="R114" s="43"/>
    </row>
    <row r="115" ht="16.5" customHeight="1">
      <c r="A115" s="55"/>
      <c r="B115" s="56"/>
      <c r="C115" s="118" t="s">
        <v>28</v>
      </c>
      <c r="D115" s="85" t="str">
        <f>'管理シフト'!J73</f>
        <v/>
      </c>
      <c r="E115" s="80"/>
      <c r="F115" s="81"/>
      <c r="G115" s="78">
        <f>E115-F115</f>
        <v>0</v>
      </c>
      <c r="H115" s="79"/>
      <c r="I115" s="85" t="str">
        <f>'管理シフト'!M74</f>
        <v/>
      </c>
      <c r="J115" s="119"/>
      <c r="K115" s="120"/>
      <c r="L115" s="121">
        <f>J115-K115</f>
        <v>0</v>
      </c>
      <c r="M115" s="43"/>
      <c r="N115" s="54" t="s">
        <v>13</v>
      </c>
      <c r="O115" s="54" t="s">
        <v>14</v>
      </c>
      <c r="P115" s="54" t="s">
        <v>15</v>
      </c>
      <c r="Q115" s="43"/>
      <c r="R115" s="43"/>
    </row>
    <row r="116" ht="13.5" customHeight="1">
      <c r="A116" s="63"/>
      <c r="B116" s="64"/>
      <c r="C116" s="109"/>
      <c r="D116" s="122" t="s">
        <v>27</v>
      </c>
      <c r="E116" s="77"/>
      <c r="F116" s="77"/>
      <c r="G116" s="84"/>
      <c r="H116" s="79"/>
      <c r="I116" s="122" t="s">
        <v>27</v>
      </c>
      <c r="J116" s="77"/>
      <c r="K116" s="77"/>
      <c r="L116" s="84"/>
      <c r="M116" s="43"/>
      <c r="N116" s="43">
        <f t="shared" ref="N116:P116" si="45">E114+E116+J114+J116</f>
        <v>0</v>
      </c>
      <c r="O116" s="43">
        <f t="shared" si="45"/>
        <v>0</v>
      </c>
      <c r="P116" s="43">
        <f t="shared" si="45"/>
        <v>0</v>
      </c>
      <c r="Q116" s="43"/>
      <c r="R116" s="43"/>
    </row>
    <row r="117" ht="13.5" customHeight="1">
      <c r="A117" s="43"/>
      <c r="B117" s="65"/>
      <c r="C117" s="79"/>
      <c r="D117" s="86"/>
      <c r="E117" s="88"/>
      <c r="F117" s="88"/>
      <c r="G117" s="79"/>
      <c r="H117" s="79"/>
      <c r="I117" s="124"/>
      <c r="J117" s="123">
        <f t="shared" ref="J117:K117" si="46">E113+E115+J113+J115</f>
        <v>0</v>
      </c>
      <c r="K117" s="123">
        <f t="shared" si="46"/>
        <v>0</v>
      </c>
      <c r="L117" s="123">
        <f>SUM(G113+G115+L113+L115+Q113+Q115)</f>
        <v>0</v>
      </c>
      <c r="M117" s="43"/>
      <c r="N117" s="43"/>
      <c r="O117" s="43"/>
      <c r="P117" s="43"/>
      <c r="Q117" s="43"/>
      <c r="R117" s="43"/>
    </row>
    <row r="118" ht="16.5" customHeight="1">
      <c r="A118" s="46">
        <v>24.0</v>
      </c>
      <c r="B118" s="70" t="str">
        <f>'【大井町】売上'!C27</f>
        <v>火</v>
      </c>
      <c r="C118" s="118" t="s">
        <v>26</v>
      </c>
      <c r="D118" s="76" t="str">
        <f>'管理シフト'!J76</f>
        <v/>
      </c>
      <c r="E118" s="80"/>
      <c r="F118" s="81"/>
      <c r="G118" s="78">
        <f>E118-F118</f>
        <v>0</v>
      </c>
      <c r="H118" s="79"/>
      <c r="I118" s="76" t="str">
        <f>'管理シフト'!M76</f>
        <v/>
      </c>
      <c r="J118" s="119"/>
      <c r="K118" s="120"/>
      <c r="L118" s="121">
        <f>J118-K118</f>
        <v>0</v>
      </c>
      <c r="M118" s="43"/>
      <c r="N118" s="43"/>
      <c r="O118" s="43"/>
      <c r="P118" s="43"/>
      <c r="Q118" s="43"/>
      <c r="R118" s="43"/>
    </row>
    <row r="119" ht="13.5" customHeight="1">
      <c r="A119" s="55"/>
      <c r="B119" s="56"/>
      <c r="C119" s="109"/>
      <c r="D119" s="122" t="s">
        <v>27</v>
      </c>
      <c r="E119" s="77"/>
      <c r="F119" s="77"/>
      <c r="G119" s="84"/>
      <c r="H119" s="79"/>
      <c r="I119" s="122" t="s">
        <v>27</v>
      </c>
      <c r="J119" s="77"/>
      <c r="K119" s="77"/>
      <c r="L119" s="84"/>
      <c r="M119" s="43"/>
      <c r="N119" s="43"/>
      <c r="O119" s="43"/>
      <c r="P119" s="43"/>
      <c r="Q119" s="43"/>
      <c r="R119" s="43"/>
    </row>
    <row r="120" ht="16.5" customHeight="1">
      <c r="A120" s="55"/>
      <c r="B120" s="56"/>
      <c r="C120" s="118" t="s">
        <v>28</v>
      </c>
      <c r="D120" s="85" t="str">
        <f>'管理シフト'!J77</f>
        <v/>
      </c>
      <c r="E120" s="80"/>
      <c r="F120" s="81"/>
      <c r="G120" s="78">
        <f>E120-F120</f>
        <v>0</v>
      </c>
      <c r="H120" s="79"/>
      <c r="I120" s="85" t="str">
        <f>'管理シフト'!M77</f>
        <v/>
      </c>
      <c r="J120" s="119"/>
      <c r="K120" s="120"/>
      <c r="L120" s="121">
        <f>J120-K120</f>
        <v>0</v>
      </c>
      <c r="M120" s="43"/>
      <c r="N120" s="54" t="s">
        <v>13</v>
      </c>
      <c r="O120" s="54" t="s">
        <v>14</v>
      </c>
      <c r="P120" s="54" t="s">
        <v>15</v>
      </c>
      <c r="Q120" s="43"/>
      <c r="R120" s="43"/>
    </row>
    <row r="121" ht="13.5" customHeight="1">
      <c r="A121" s="63"/>
      <c r="B121" s="64"/>
      <c r="C121" s="109"/>
      <c r="D121" s="122" t="s">
        <v>27</v>
      </c>
      <c r="E121" s="77"/>
      <c r="F121" s="77"/>
      <c r="G121" s="84"/>
      <c r="H121" s="79"/>
      <c r="I121" s="122" t="s">
        <v>27</v>
      </c>
      <c r="J121" s="77"/>
      <c r="K121" s="77"/>
      <c r="L121" s="84"/>
      <c r="M121" s="43"/>
      <c r="N121" s="43">
        <f t="shared" ref="N121:P121" si="47">E119+E121+J119+J121</f>
        <v>0</v>
      </c>
      <c r="O121" s="43">
        <f t="shared" si="47"/>
        <v>0</v>
      </c>
      <c r="P121" s="43">
        <f t="shared" si="47"/>
        <v>0</v>
      </c>
      <c r="Q121" s="43"/>
      <c r="R121" s="43"/>
    </row>
    <row r="122" ht="13.5" customHeight="1">
      <c r="A122" s="43"/>
      <c r="B122" s="65"/>
      <c r="C122" s="79"/>
      <c r="D122" s="86" t="str">
        <f>'管理シフト'!J112</f>
        <v/>
      </c>
      <c r="E122" s="88"/>
      <c r="F122" s="88"/>
      <c r="G122" s="79"/>
      <c r="H122" s="79"/>
      <c r="I122" s="86"/>
      <c r="J122" s="123">
        <f t="shared" ref="J122:K122" si="48">E118+E120+J118+J120</f>
        <v>0</v>
      </c>
      <c r="K122" s="123">
        <f t="shared" si="48"/>
        <v>0</v>
      </c>
      <c r="L122" s="123">
        <f>SUM(G118+G120+L118+L120+Q118+Q120)</f>
        <v>0</v>
      </c>
      <c r="M122" s="43"/>
      <c r="N122" s="43"/>
      <c r="O122" s="43"/>
      <c r="P122" s="43"/>
      <c r="Q122" s="43"/>
      <c r="R122" s="43"/>
    </row>
    <row r="123" ht="16.5" customHeight="1">
      <c r="A123" s="46">
        <v>25.0</v>
      </c>
      <c r="B123" s="70" t="str">
        <f>'【大井町】売上'!C28</f>
        <v>水</v>
      </c>
      <c r="C123" s="118" t="s">
        <v>26</v>
      </c>
      <c r="D123" s="76" t="str">
        <f>'管理シフト'!J79</f>
        <v/>
      </c>
      <c r="E123" s="80"/>
      <c r="F123" s="81"/>
      <c r="G123" s="78">
        <f>E123-F123</f>
        <v>0</v>
      </c>
      <c r="H123" s="79"/>
      <c r="I123" s="76" t="str">
        <f>'管理シフト'!M79</f>
        <v/>
      </c>
      <c r="J123" s="119"/>
      <c r="K123" s="120"/>
      <c r="L123" s="121">
        <f>J123-K123</f>
        <v>0</v>
      </c>
      <c r="M123" s="43"/>
      <c r="N123" s="43"/>
      <c r="O123" s="43"/>
      <c r="P123" s="43"/>
      <c r="Q123" s="43"/>
      <c r="R123" s="43"/>
    </row>
    <row r="124" ht="13.5" customHeight="1">
      <c r="A124" s="55"/>
      <c r="B124" s="56"/>
      <c r="C124" s="109"/>
      <c r="D124" s="122" t="s">
        <v>27</v>
      </c>
      <c r="E124" s="77"/>
      <c r="F124" s="77"/>
      <c r="G124" s="84"/>
      <c r="H124" s="79"/>
      <c r="I124" s="122" t="s">
        <v>27</v>
      </c>
      <c r="J124" s="77"/>
      <c r="K124" s="77"/>
      <c r="L124" s="84"/>
      <c r="M124" s="43"/>
      <c r="N124" s="43"/>
      <c r="O124" s="43"/>
      <c r="P124" s="43"/>
      <c r="Q124" s="43"/>
      <c r="R124" s="43"/>
    </row>
    <row r="125" ht="16.5" customHeight="1">
      <c r="A125" s="55"/>
      <c r="B125" s="56"/>
      <c r="C125" s="118" t="s">
        <v>28</v>
      </c>
      <c r="D125" s="85" t="str">
        <f>'管理シフト'!J80</f>
        <v/>
      </c>
      <c r="E125" s="80"/>
      <c r="F125" s="81"/>
      <c r="G125" s="78">
        <f>E125-F125</f>
        <v>0</v>
      </c>
      <c r="H125" s="79"/>
      <c r="I125" s="85" t="str">
        <f>'管理シフト'!M80</f>
        <v/>
      </c>
      <c r="J125" s="119"/>
      <c r="K125" s="120"/>
      <c r="L125" s="121">
        <f>J125-K125</f>
        <v>0</v>
      </c>
      <c r="M125" s="43"/>
      <c r="N125" s="54" t="s">
        <v>13</v>
      </c>
      <c r="O125" s="54" t="s">
        <v>14</v>
      </c>
      <c r="P125" s="54" t="s">
        <v>15</v>
      </c>
      <c r="Q125" s="43"/>
      <c r="R125" s="43"/>
    </row>
    <row r="126" ht="13.5" customHeight="1">
      <c r="A126" s="63"/>
      <c r="B126" s="64"/>
      <c r="C126" s="109"/>
      <c r="D126" s="122" t="s">
        <v>27</v>
      </c>
      <c r="E126" s="77"/>
      <c r="F126" s="77"/>
      <c r="G126" s="84"/>
      <c r="H126" s="79"/>
      <c r="I126" s="122" t="s">
        <v>27</v>
      </c>
      <c r="J126" s="77"/>
      <c r="K126" s="77"/>
      <c r="L126" s="84"/>
      <c r="M126" s="43"/>
      <c r="N126" s="43">
        <f t="shared" ref="N126:P126" si="49">E124+E126+J124+J126</f>
        <v>0</v>
      </c>
      <c r="O126" s="43">
        <f t="shared" si="49"/>
        <v>0</v>
      </c>
      <c r="P126" s="43">
        <f t="shared" si="49"/>
        <v>0</v>
      </c>
      <c r="Q126" s="43"/>
      <c r="R126" s="43"/>
    </row>
    <row r="127" ht="13.5" customHeight="1">
      <c r="A127" s="43"/>
      <c r="B127" s="65"/>
      <c r="C127" s="79"/>
      <c r="D127" s="86"/>
      <c r="E127" s="79"/>
      <c r="F127" s="79"/>
      <c r="G127" s="79"/>
      <c r="H127" s="79"/>
      <c r="I127" s="86"/>
      <c r="J127" s="123">
        <f t="shared" ref="J127:K127" si="50">E123+E125+J123+J125</f>
        <v>0</v>
      </c>
      <c r="K127" s="123">
        <f t="shared" si="50"/>
        <v>0</v>
      </c>
      <c r="L127" s="123">
        <f>SUM(G123+G125+L123+L125+Q123+Q125)</f>
        <v>0</v>
      </c>
      <c r="M127" s="43"/>
      <c r="N127" s="43"/>
      <c r="O127" s="43"/>
      <c r="P127" s="43"/>
      <c r="Q127" s="43"/>
      <c r="R127" s="43"/>
    </row>
    <row r="128" ht="16.5" customHeight="1">
      <c r="A128" s="46">
        <v>26.0</v>
      </c>
      <c r="B128" s="89" t="str">
        <f>'【大井町】売上'!C29</f>
        <v>木</v>
      </c>
      <c r="C128" s="118" t="s">
        <v>26</v>
      </c>
      <c r="D128" s="85" t="str">
        <f>'管理シフト'!J82</f>
        <v/>
      </c>
      <c r="E128" s="80"/>
      <c r="F128" s="81"/>
      <c r="G128" s="78">
        <f>E128-F128</f>
        <v>0</v>
      </c>
      <c r="H128" s="79"/>
      <c r="I128" s="85" t="str">
        <f>'管理シフト'!M82</f>
        <v/>
      </c>
      <c r="J128" s="119"/>
      <c r="K128" s="120"/>
      <c r="L128" s="121">
        <f>J128-K128</f>
        <v>0</v>
      </c>
      <c r="M128" s="43"/>
      <c r="N128" s="43"/>
      <c r="O128" s="43"/>
      <c r="P128" s="43"/>
      <c r="Q128" s="43"/>
      <c r="R128" s="43"/>
    </row>
    <row r="129" ht="13.5" customHeight="1">
      <c r="A129" s="55"/>
      <c r="B129" s="56"/>
      <c r="C129" s="109"/>
      <c r="D129" s="122" t="s">
        <v>27</v>
      </c>
      <c r="E129" s="80"/>
      <c r="F129" s="80"/>
      <c r="G129" s="84"/>
      <c r="H129" s="79"/>
      <c r="I129" s="122" t="s">
        <v>27</v>
      </c>
      <c r="J129" s="77"/>
      <c r="K129" s="77"/>
      <c r="L129" s="84"/>
      <c r="M129" s="43"/>
      <c r="N129" s="43"/>
      <c r="O129" s="43"/>
      <c r="P129" s="43"/>
      <c r="Q129" s="43"/>
      <c r="R129" s="43"/>
    </row>
    <row r="130" ht="16.5" customHeight="1">
      <c r="A130" s="55"/>
      <c r="B130" s="56"/>
      <c r="C130" s="118" t="s">
        <v>28</v>
      </c>
      <c r="D130" s="85" t="str">
        <f>'管理シフト'!J83</f>
        <v/>
      </c>
      <c r="E130" s="80"/>
      <c r="F130" s="81"/>
      <c r="G130" s="78">
        <f>E130-F130</f>
        <v>0</v>
      </c>
      <c r="H130" s="79"/>
      <c r="I130" s="85" t="str">
        <f>'管理シフト'!M83</f>
        <v/>
      </c>
      <c r="J130" s="119"/>
      <c r="K130" s="120"/>
      <c r="L130" s="121">
        <f>J130-K130</f>
        <v>0</v>
      </c>
      <c r="M130" s="43"/>
      <c r="N130" s="54" t="s">
        <v>13</v>
      </c>
      <c r="O130" s="54" t="s">
        <v>14</v>
      </c>
      <c r="P130" s="54" t="s">
        <v>15</v>
      </c>
      <c r="Q130" s="43"/>
      <c r="R130" s="43"/>
    </row>
    <row r="131" ht="13.5" customHeight="1">
      <c r="A131" s="63"/>
      <c r="B131" s="64"/>
      <c r="C131" s="109"/>
      <c r="D131" s="122" t="s">
        <v>27</v>
      </c>
      <c r="E131" s="80"/>
      <c r="F131" s="80"/>
      <c r="G131" s="84"/>
      <c r="H131" s="79"/>
      <c r="I131" s="122" t="s">
        <v>27</v>
      </c>
      <c r="J131" s="77"/>
      <c r="K131" s="77"/>
      <c r="L131" s="84"/>
      <c r="M131" s="43"/>
      <c r="N131" s="43">
        <f t="shared" ref="N131:P131" si="51">E129+E131+J129+J131</f>
        <v>0</v>
      </c>
      <c r="O131" s="43">
        <f t="shared" si="51"/>
        <v>0</v>
      </c>
      <c r="P131" s="43">
        <f t="shared" si="51"/>
        <v>0</v>
      </c>
      <c r="Q131" s="43"/>
      <c r="R131" s="43"/>
      <c r="Z131" s="98"/>
    </row>
    <row r="132" ht="13.5" customHeight="1">
      <c r="A132" s="43"/>
      <c r="B132" s="65"/>
      <c r="C132" s="79"/>
      <c r="D132" s="86" t="str">
        <f>'管理シフト'!J123</f>
        <v/>
      </c>
      <c r="E132" s="79"/>
      <c r="F132" s="79"/>
      <c r="G132" s="79"/>
      <c r="H132" s="79"/>
      <c r="I132" s="86"/>
      <c r="J132" s="123">
        <f t="shared" ref="J132:K132" si="52">E128+E130+J128+J130</f>
        <v>0</v>
      </c>
      <c r="K132" s="123">
        <f t="shared" si="52"/>
        <v>0</v>
      </c>
      <c r="L132" s="123">
        <f>SUM(G128+G130+L128+L130+Q128+Q130)</f>
        <v>0</v>
      </c>
      <c r="M132" s="43"/>
      <c r="N132" s="43"/>
      <c r="O132" s="43"/>
      <c r="P132" s="43"/>
      <c r="Q132" s="43"/>
      <c r="R132" s="43"/>
    </row>
    <row r="133" ht="16.5" customHeight="1">
      <c r="A133" s="46">
        <v>27.0</v>
      </c>
      <c r="B133" s="89" t="str">
        <f>'【大井町】売上'!C30</f>
        <v>金</v>
      </c>
      <c r="C133" s="118" t="s">
        <v>26</v>
      </c>
      <c r="D133" s="85" t="str">
        <f>'管理シフト'!J85</f>
        <v/>
      </c>
      <c r="E133" s="80"/>
      <c r="F133" s="81"/>
      <c r="G133" s="78">
        <f>E133-F133</f>
        <v>0</v>
      </c>
      <c r="H133" s="79"/>
      <c r="I133" s="124" t="str">
        <f>'管理シフト'!M85</f>
        <v/>
      </c>
      <c r="J133" s="119"/>
      <c r="K133" s="120"/>
      <c r="L133" s="121">
        <f>J133-K133</f>
        <v>0</v>
      </c>
      <c r="M133" s="43"/>
      <c r="N133" s="43"/>
      <c r="O133" s="43"/>
      <c r="P133" s="43"/>
      <c r="Q133" s="43"/>
      <c r="R133" s="43"/>
    </row>
    <row r="134" ht="13.5" customHeight="1">
      <c r="A134" s="55"/>
      <c r="B134" s="56"/>
      <c r="C134" s="109"/>
      <c r="D134" s="122" t="s">
        <v>27</v>
      </c>
      <c r="E134" s="80"/>
      <c r="F134" s="80"/>
      <c r="G134" s="84"/>
      <c r="H134" s="79"/>
      <c r="I134" s="122" t="s">
        <v>27</v>
      </c>
      <c r="J134" s="77"/>
      <c r="K134" s="77"/>
      <c r="L134" s="84"/>
      <c r="M134" s="43"/>
      <c r="N134" s="43"/>
      <c r="O134" s="43"/>
      <c r="P134" s="43"/>
      <c r="Q134" s="43"/>
      <c r="R134" s="43"/>
    </row>
    <row r="135" ht="16.5" customHeight="1">
      <c r="A135" s="55"/>
      <c r="B135" s="56"/>
      <c r="C135" s="118" t="s">
        <v>28</v>
      </c>
      <c r="D135" s="85" t="str">
        <f>'管理シフト'!J86</f>
        <v/>
      </c>
      <c r="E135" s="80"/>
      <c r="F135" s="81"/>
      <c r="G135" s="78">
        <f>E135-F135</f>
        <v>0</v>
      </c>
      <c r="H135" s="79"/>
      <c r="I135" s="85" t="str">
        <f>'管理シフト'!J86</f>
        <v/>
      </c>
      <c r="J135" s="119"/>
      <c r="K135" s="120"/>
      <c r="L135" s="121">
        <f>J135-K135</f>
        <v>0</v>
      </c>
      <c r="M135" s="43"/>
      <c r="N135" s="54" t="s">
        <v>13</v>
      </c>
      <c r="O135" s="54" t="s">
        <v>14</v>
      </c>
      <c r="P135" s="54" t="s">
        <v>15</v>
      </c>
      <c r="Q135" s="43"/>
      <c r="R135" s="43"/>
    </row>
    <row r="136" ht="13.5" customHeight="1">
      <c r="A136" s="63"/>
      <c r="B136" s="64"/>
      <c r="C136" s="109"/>
      <c r="D136" s="122" t="s">
        <v>27</v>
      </c>
      <c r="E136" s="80"/>
      <c r="F136" s="80"/>
      <c r="G136" s="84"/>
      <c r="H136" s="79"/>
      <c r="I136" s="122" t="s">
        <v>27</v>
      </c>
      <c r="J136" s="77"/>
      <c r="K136" s="77"/>
      <c r="L136" s="84"/>
      <c r="M136" s="43"/>
      <c r="N136" s="43">
        <f t="shared" ref="N136:P136" si="53">E134+E136+J134+J136</f>
        <v>0</v>
      </c>
      <c r="O136" s="43">
        <f t="shared" si="53"/>
        <v>0</v>
      </c>
      <c r="P136" s="43">
        <f t="shared" si="53"/>
        <v>0</v>
      </c>
      <c r="Q136" s="43"/>
      <c r="R136" s="43"/>
    </row>
    <row r="137" ht="13.5" customHeight="1">
      <c r="A137" s="43"/>
      <c r="B137" s="65"/>
      <c r="C137" s="79"/>
      <c r="D137" s="86"/>
      <c r="E137" s="79"/>
      <c r="F137" s="79"/>
      <c r="G137" s="79"/>
      <c r="H137" s="79"/>
      <c r="I137" s="124"/>
      <c r="J137" s="123">
        <f t="shared" ref="J137:K137" si="54">E133+E135+J133+J135</f>
        <v>0</v>
      </c>
      <c r="K137" s="123">
        <f t="shared" si="54"/>
        <v>0</v>
      </c>
      <c r="L137" s="123">
        <f>SUM(G133+G135+L133+L135+Q133+Q135)</f>
        <v>0</v>
      </c>
      <c r="M137" s="43"/>
      <c r="N137" s="43"/>
      <c r="O137" s="43"/>
      <c r="P137" s="43"/>
      <c r="Q137" s="43"/>
      <c r="R137" s="43"/>
    </row>
    <row r="138" ht="16.5" customHeight="1">
      <c r="A138" s="46">
        <v>28.0</v>
      </c>
      <c r="B138" s="89" t="str">
        <f>'【大井町】売上'!C31</f>
        <v>土</v>
      </c>
      <c r="C138" s="118" t="s">
        <v>26</v>
      </c>
      <c r="D138" s="85" t="str">
        <f>'管理シフト'!J88</f>
        <v/>
      </c>
      <c r="E138" s="80"/>
      <c r="F138" s="81"/>
      <c r="G138" s="78">
        <f>E138-F138</f>
        <v>0</v>
      </c>
      <c r="H138" s="79"/>
      <c r="I138" s="85" t="str">
        <f>'管理シフト'!M88</f>
        <v/>
      </c>
      <c r="J138" s="119"/>
      <c r="K138" s="120"/>
      <c r="L138" s="121">
        <f>J138-K138</f>
        <v>0</v>
      </c>
      <c r="M138" s="43"/>
      <c r="N138" s="43"/>
      <c r="O138" s="43"/>
      <c r="P138" s="43"/>
      <c r="Q138" s="43"/>
      <c r="R138" s="43"/>
    </row>
    <row r="139" ht="13.5" customHeight="1">
      <c r="A139" s="55"/>
      <c r="B139" s="56"/>
      <c r="C139" s="109"/>
      <c r="D139" s="122" t="s">
        <v>27</v>
      </c>
      <c r="E139" s="80"/>
      <c r="F139" s="80"/>
      <c r="G139" s="84"/>
      <c r="H139" s="79"/>
      <c r="I139" s="122" t="s">
        <v>27</v>
      </c>
      <c r="J139" s="77"/>
      <c r="K139" s="77"/>
      <c r="L139" s="84"/>
      <c r="M139" s="43"/>
      <c r="N139" s="43"/>
      <c r="O139" s="43"/>
      <c r="P139" s="43"/>
      <c r="Q139" s="43"/>
      <c r="R139" s="43"/>
    </row>
    <row r="140" ht="16.5" customHeight="1">
      <c r="A140" s="55"/>
      <c r="B140" s="56"/>
      <c r="C140" s="118" t="s">
        <v>28</v>
      </c>
      <c r="D140" s="85" t="str">
        <f>'管理シフト'!J89</f>
        <v/>
      </c>
      <c r="E140" s="80"/>
      <c r="F140" s="81"/>
      <c r="G140" s="78">
        <f>E140-F140</f>
        <v>0</v>
      </c>
      <c r="H140" s="79"/>
      <c r="I140" s="85" t="str">
        <f>'管理シフト'!M89</f>
        <v/>
      </c>
      <c r="J140" s="119"/>
      <c r="K140" s="120"/>
      <c r="L140" s="121">
        <f>J140-K140</f>
        <v>0</v>
      </c>
      <c r="M140" s="43"/>
      <c r="N140" s="54" t="s">
        <v>13</v>
      </c>
      <c r="O140" s="54" t="s">
        <v>14</v>
      </c>
      <c r="P140" s="54" t="s">
        <v>15</v>
      </c>
      <c r="Q140" s="43"/>
      <c r="R140" s="43"/>
    </row>
    <row r="141" ht="13.5" customHeight="1">
      <c r="A141" s="63"/>
      <c r="B141" s="64"/>
      <c r="C141" s="109"/>
      <c r="D141" s="122" t="s">
        <v>27</v>
      </c>
      <c r="E141" s="80"/>
      <c r="F141" s="80"/>
      <c r="G141" s="84"/>
      <c r="H141" s="79"/>
      <c r="I141" s="122" t="s">
        <v>27</v>
      </c>
      <c r="J141" s="77"/>
      <c r="K141" s="77"/>
      <c r="L141" s="84"/>
      <c r="M141" s="43"/>
      <c r="N141" s="43">
        <f t="shared" ref="N141:P141" si="55">E139+E141+J139+J141</f>
        <v>0</v>
      </c>
      <c r="O141" s="43">
        <f t="shared" si="55"/>
        <v>0</v>
      </c>
      <c r="P141" s="43">
        <f t="shared" si="55"/>
        <v>0</v>
      </c>
      <c r="Q141" s="43"/>
      <c r="R141" s="43"/>
    </row>
    <row r="142" ht="13.5" customHeight="1">
      <c r="A142" s="43"/>
      <c r="B142" s="65"/>
      <c r="C142" s="79"/>
      <c r="D142" s="86" t="str">
        <f>'管理シフト'!J132</f>
        <v/>
      </c>
      <c r="E142" s="79"/>
      <c r="F142" s="79"/>
      <c r="G142" s="79"/>
      <c r="H142" s="79"/>
      <c r="I142" s="86"/>
      <c r="J142" s="123">
        <f t="shared" ref="J142:K142" si="56">E138+E140+J138+J140</f>
        <v>0</v>
      </c>
      <c r="K142" s="123">
        <f t="shared" si="56"/>
        <v>0</v>
      </c>
      <c r="L142" s="123">
        <f>SUM(G138+G140+L138+L140+Q138+Q140)</f>
        <v>0</v>
      </c>
      <c r="M142" s="43"/>
      <c r="N142" s="43"/>
      <c r="O142" s="43"/>
      <c r="P142" s="43"/>
      <c r="Q142" s="43"/>
      <c r="R142" s="43"/>
    </row>
    <row r="143" ht="16.5" customHeight="1">
      <c r="A143" s="90">
        <v>29.0</v>
      </c>
      <c r="B143" s="125" t="str">
        <f>'【大井町】売上'!C32</f>
        <v/>
      </c>
      <c r="C143" s="118" t="s">
        <v>26</v>
      </c>
      <c r="D143" s="85" t="str">
        <f>'管理シフト'!J91</f>
        <v/>
      </c>
      <c r="E143" s="80"/>
      <c r="F143" s="81"/>
      <c r="G143" s="78">
        <f>E143-F143</f>
        <v>0</v>
      </c>
      <c r="H143" s="79"/>
      <c r="I143" s="85" t="str">
        <f>'管理シフト'!M91</f>
        <v/>
      </c>
      <c r="J143" s="119"/>
      <c r="K143" s="120"/>
      <c r="L143" s="121">
        <f>J143-K143</f>
        <v>0</v>
      </c>
      <c r="M143" s="43"/>
      <c r="N143" s="43"/>
      <c r="O143" s="43"/>
      <c r="P143" s="43"/>
      <c r="Q143" s="43"/>
      <c r="R143" s="43"/>
    </row>
    <row r="144" ht="13.5" customHeight="1">
      <c r="A144" s="55"/>
      <c r="B144" s="56"/>
      <c r="C144" s="109"/>
      <c r="D144" s="122" t="s">
        <v>27</v>
      </c>
      <c r="E144" s="80"/>
      <c r="F144" s="80"/>
      <c r="G144" s="84"/>
      <c r="H144" s="79"/>
      <c r="I144" s="122" t="s">
        <v>27</v>
      </c>
      <c r="J144" s="77"/>
      <c r="K144" s="77"/>
      <c r="L144" s="84"/>
      <c r="M144" s="43"/>
      <c r="N144" s="43"/>
      <c r="O144" s="43"/>
      <c r="P144" s="43"/>
      <c r="Q144" s="43"/>
      <c r="R144" s="43"/>
    </row>
    <row r="145" ht="16.5" customHeight="1">
      <c r="A145" s="55"/>
      <c r="B145" s="56"/>
      <c r="C145" s="118" t="s">
        <v>28</v>
      </c>
      <c r="D145" s="85" t="str">
        <f>'管理シフト'!J92</f>
        <v/>
      </c>
      <c r="E145" s="80"/>
      <c r="F145" s="81"/>
      <c r="G145" s="78">
        <f>E145-F145</f>
        <v>0</v>
      </c>
      <c r="H145" s="79"/>
      <c r="I145" s="124" t="str">
        <f>'管理シフト'!M92</f>
        <v/>
      </c>
      <c r="J145" s="119"/>
      <c r="K145" s="120"/>
      <c r="L145" s="121">
        <f>J145-K145</f>
        <v>0</v>
      </c>
      <c r="N145" s="54" t="s">
        <v>13</v>
      </c>
      <c r="O145" s="54" t="s">
        <v>14</v>
      </c>
      <c r="P145" s="54" t="s">
        <v>15</v>
      </c>
    </row>
    <row r="146" ht="13.5" customHeight="1">
      <c r="A146" s="63"/>
      <c r="B146" s="64"/>
      <c r="C146" s="109"/>
      <c r="D146" s="122" t="s">
        <v>27</v>
      </c>
      <c r="E146" s="80"/>
      <c r="F146" s="80"/>
      <c r="G146" s="84"/>
      <c r="H146" s="79"/>
      <c r="I146" s="122" t="s">
        <v>27</v>
      </c>
      <c r="J146" s="77"/>
      <c r="K146" s="77"/>
      <c r="L146" s="84"/>
      <c r="N146" s="34">
        <f t="shared" ref="N146:P146" si="57">E144+E146+J144+J146</f>
        <v>0</v>
      </c>
      <c r="O146" s="34">
        <f t="shared" si="57"/>
        <v>0</v>
      </c>
      <c r="P146" s="34">
        <f t="shared" si="57"/>
        <v>0</v>
      </c>
    </row>
    <row r="147" ht="13.5" customHeight="1">
      <c r="B147" s="126"/>
      <c r="C147" s="79"/>
      <c r="D147" s="86"/>
      <c r="E147" s="79"/>
      <c r="F147" s="79"/>
      <c r="G147" s="79"/>
      <c r="H147" s="79"/>
      <c r="I147" s="86"/>
      <c r="J147" s="123">
        <f t="shared" ref="J147:K147" si="58">E143+E145+J143+J145</f>
        <v>0</v>
      </c>
      <c r="K147" s="123">
        <f t="shared" si="58"/>
        <v>0</v>
      </c>
      <c r="L147" s="123">
        <f>SUM(G143+G145+L143+L145+Q143+Q145)</f>
        <v>0</v>
      </c>
    </row>
    <row r="148" ht="16.5" customHeight="1">
      <c r="A148" s="90">
        <v>30.0</v>
      </c>
      <c r="B148" s="125" t="str">
        <f>'【大井町】売上'!C33</f>
        <v/>
      </c>
      <c r="C148" s="118" t="s">
        <v>26</v>
      </c>
      <c r="D148" s="85" t="str">
        <f>'管理シフト'!J94</f>
        <v/>
      </c>
      <c r="E148" s="80"/>
      <c r="F148" s="81"/>
      <c r="G148" s="78">
        <f>E148-F148</f>
        <v>0</v>
      </c>
      <c r="H148" s="79"/>
      <c r="I148" s="85" t="str">
        <f>'管理シフト'!M94</f>
        <v/>
      </c>
      <c r="J148" s="119"/>
      <c r="K148" s="120"/>
      <c r="L148" s="121">
        <f>J148-K148</f>
        <v>0</v>
      </c>
    </row>
    <row r="149" ht="13.5" customHeight="1">
      <c r="A149" s="55"/>
      <c r="B149" s="56"/>
      <c r="C149" s="109"/>
      <c r="D149" s="122" t="s">
        <v>27</v>
      </c>
      <c r="E149" s="80"/>
      <c r="F149" s="80"/>
      <c r="G149" s="84"/>
      <c r="H149" s="79"/>
      <c r="I149" s="122" t="s">
        <v>27</v>
      </c>
      <c r="J149" s="77"/>
      <c r="K149" s="77"/>
      <c r="L149" s="84"/>
    </row>
    <row r="150" ht="16.5" customHeight="1">
      <c r="A150" s="55"/>
      <c r="B150" s="56"/>
      <c r="C150" s="118" t="s">
        <v>28</v>
      </c>
      <c r="D150" s="85" t="str">
        <f>'管理シフト'!J95</f>
        <v/>
      </c>
      <c r="E150" s="80"/>
      <c r="F150" s="81"/>
      <c r="G150" s="78">
        <f>E150-F150</f>
        <v>0</v>
      </c>
      <c r="H150" s="79"/>
      <c r="I150" s="85" t="str">
        <f>'管理シフト'!M95</f>
        <v/>
      </c>
      <c r="J150" s="119"/>
      <c r="K150" s="120"/>
      <c r="L150" s="121">
        <f>J150-K150</f>
        <v>0</v>
      </c>
      <c r="N150" s="54" t="s">
        <v>13</v>
      </c>
      <c r="O150" s="54" t="s">
        <v>14</v>
      </c>
      <c r="P150" s="54" t="s">
        <v>15</v>
      </c>
    </row>
    <row r="151" ht="13.5" customHeight="1">
      <c r="A151" s="63"/>
      <c r="B151" s="64"/>
      <c r="C151" s="109"/>
      <c r="D151" s="122" t="s">
        <v>27</v>
      </c>
      <c r="E151" s="80"/>
      <c r="F151" s="80"/>
      <c r="G151" s="84"/>
      <c r="H151" s="79"/>
      <c r="I151" s="122" t="s">
        <v>27</v>
      </c>
      <c r="J151" s="77"/>
      <c r="K151" s="77"/>
      <c r="L151" s="84"/>
      <c r="N151" s="34">
        <f t="shared" ref="N151:P151" si="59">E149+E151+J149+J151</f>
        <v>0</v>
      </c>
      <c r="O151" s="34">
        <f t="shared" si="59"/>
        <v>0</v>
      </c>
      <c r="P151" s="34">
        <f t="shared" si="59"/>
        <v>0</v>
      </c>
    </row>
    <row r="152" ht="13.5" customHeight="1">
      <c r="B152" s="126"/>
      <c r="C152" s="79"/>
      <c r="D152" s="86" t="str">
        <f>'管理シフト'!J143</f>
        <v/>
      </c>
      <c r="E152" s="79"/>
      <c r="F152" s="79"/>
      <c r="G152" s="79"/>
      <c r="H152" s="79"/>
      <c r="I152" s="86"/>
      <c r="J152" s="123">
        <f t="shared" ref="J152:K152" si="60">E148+E150+J148+J150</f>
        <v>0</v>
      </c>
      <c r="K152" s="123">
        <f t="shared" si="60"/>
        <v>0</v>
      </c>
      <c r="L152" s="123">
        <f>SUM(G148+G150+L148+L150+Q148+Q150)</f>
        <v>0</v>
      </c>
    </row>
    <row r="153" ht="16.5" customHeight="1">
      <c r="A153" s="90">
        <v>31.0</v>
      </c>
      <c r="B153" s="125" t="str">
        <f>'【大井町】売上'!C34</f>
        <v/>
      </c>
      <c r="C153" s="118" t="s">
        <v>26</v>
      </c>
      <c r="D153" s="85" t="str">
        <f>'管理シフト'!J97</f>
        <v/>
      </c>
      <c r="E153" s="80"/>
      <c r="F153" s="81"/>
      <c r="G153" s="78">
        <f>E153-F153</f>
        <v>0</v>
      </c>
      <c r="H153" s="79"/>
      <c r="I153" s="85" t="str">
        <f>'管理シフト'!M97</f>
        <v/>
      </c>
      <c r="J153" s="119"/>
      <c r="K153" s="120"/>
      <c r="L153" s="121">
        <f>J153-K153</f>
        <v>0</v>
      </c>
    </row>
    <row r="154" ht="13.5" customHeight="1">
      <c r="A154" s="55"/>
      <c r="B154" s="56"/>
      <c r="C154" s="109"/>
      <c r="D154" s="122" t="s">
        <v>27</v>
      </c>
      <c r="E154" s="80"/>
      <c r="F154" s="80"/>
      <c r="G154" s="127"/>
      <c r="H154" s="79"/>
      <c r="I154" s="122" t="s">
        <v>27</v>
      </c>
      <c r="J154" s="77"/>
      <c r="K154" s="77"/>
      <c r="L154" s="84"/>
    </row>
    <row r="155" ht="16.5" customHeight="1">
      <c r="A155" s="55"/>
      <c r="B155" s="56"/>
      <c r="C155" s="118" t="s">
        <v>28</v>
      </c>
      <c r="D155" s="85" t="str">
        <f>'管理シフト'!J98</f>
        <v/>
      </c>
      <c r="E155" s="80"/>
      <c r="F155" s="81"/>
      <c r="G155" s="78">
        <f>E155-F155</f>
        <v>0</v>
      </c>
      <c r="H155" s="79"/>
      <c r="I155" s="85" t="str">
        <f>'管理シフト'!M98</f>
        <v/>
      </c>
      <c r="J155" s="119"/>
      <c r="K155" s="120"/>
      <c r="L155" s="121">
        <f>J155-K155</f>
        <v>0</v>
      </c>
      <c r="N155" s="54" t="s">
        <v>13</v>
      </c>
      <c r="O155" s="54" t="s">
        <v>14</v>
      </c>
      <c r="P155" s="54" t="s">
        <v>15</v>
      </c>
    </row>
    <row r="156" ht="13.5" customHeight="1">
      <c r="A156" s="63"/>
      <c r="B156" s="64"/>
      <c r="C156" s="109"/>
      <c r="D156" s="122" t="s">
        <v>27</v>
      </c>
      <c r="E156" s="80"/>
      <c r="F156" s="80"/>
      <c r="G156" s="127"/>
      <c r="H156" s="79"/>
      <c r="I156" s="122" t="s">
        <v>27</v>
      </c>
      <c r="J156" s="77"/>
      <c r="K156" s="77"/>
      <c r="L156" s="84"/>
      <c r="N156" s="34">
        <f t="shared" ref="N156:P156" si="61">E154+E156+J154+J156</f>
        <v>0</v>
      </c>
      <c r="O156" s="34">
        <f t="shared" si="61"/>
        <v>0</v>
      </c>
      <c r="P156" s="34">
        <f t="shared" si="61"/>
        <v>0</v>
      </c>
    </row>
    <row r="157" ht="13.5" customHeight="1">
      <c r="C157" s="43"/>
      <c r="D157" s="54"/>
      <c r="E157" s="54"/>
      <c r="F157" s="54"/>
      <c r="G157" s="54"/>
      <c r="H157" s="54"/>
      <c r="I157" s="91"/>
      <c r="J157" s="123">
        <f t="shared" ref="J157:K157" si="62">E153+E155+J153+J155</f>
        <v>0</v>
      </c>
      <c r="K157" s="123">
        <f t="shared" si="62"/>
        <v>0</v>
      </c>
      <c r="L157" s="123">
        <f>SUM(G153+G155+L153+L155+Q153+Q155)</f>
        <v>0</v>
      </c>
    </row>
    <row r="158" ht="13.5" customHeight="1">
      <c r="C158" s="43"/>
      <c r="D158" s="43"/>
      <c r="E158" s="43"/>
      <c r="F158" s="43"/>
      <c r="G158" s="43"/>
      <c r="H158" s="43"/>
      <c r="I158" s="43"/>
      <c r="J158" s="43"/>
      <c r="K158" s="43"/>
      <c r="L158" s="43"/>
    </row>
    <row r="159" ht="13.5" customHeight="1">
      <c r="C159" s="43"/>
      <c r="D159" s="43"/>
      <c r="E159" s="43"/>
      <c r="F159" s="43"/>
      <c r="G159" s="43"/>
      <c r="H159" s="43"/>
      <c r="I159" s="43"/>
      <c r="J159" s="43"/>
      <c r="K159" s="43"/>
      <c r="L159" s="43"/>
    </row>
    <row r="160" ht="13.5" customHeight="1">
      <c r="C160" s="43"/>
      <c r="D160" s="43"/>
      <c r="E160" s="43"/>
      <c r="F160" s="43"/>
      <c r="G160" s="43"/>
      <c r="H160" s="43"/>
      <c r="I160" s="43"/>
      <c r="J160" s="43"/>
      <c r="K160" s="43"/>
      <c r="L160" s="43"/>
    </row>
    <row r="161" ht="13.5" customHeight="1">
      <c r="C161" s="43"/>
      <c r="D161" s="43"/>
      <c r="E161" s="43"/>
      <c r="F161" s="43"/>
      <c r="G161" s="43"/>
      <c r="H161" s="43"/>
      <c r="I161" s="43"/>
      <c r="J161" s="43"/>
      <c r="K161" s="43"/>
      <c r="L161" s="43"/>
    </row>
    <row r="162" ht="13.5" customHeight="1">
      <c r="C162" s="43"/>
      <c r="D162" s="43"/>
      <c r="E162" s="43"/>
      <c r="F162" s="43"/>
      <c r="G162" s="43"/>
      <c r="H162" s="43"/>
      <c r="I162" s="43"/>
      <c r="J162" s="43"/>
      <c r="K162" s="43"/>
      <c r="L162" s="43"/>
    </row>
    <row r="163" ht="13.5" customHeight="1">
      <c r="C163" s="43"/>
      <c r="D163" s="43"/>
      <c r="E163" s="43"/>
      <c r="F163" s="43"/>
      <c r="G163" s="43"/>
      <c r="H163" s="43"/>
      <c r="I163" s="43"/>
      <c r="J163" s="43"/>
      <c r="K163" s="43"/>
      <c r="L163" s="43"/>
    </row>
    <row r="164" ht="13.5" customHeight="1">
      <c r="C164" s="43"/>
      <c r="D164" s="43"/>
      <c r="E164" s="43"/>
      <c r="F164" s="43"/>
      <c r="G164" s="43"/>
      <c r="H164" s="43"/>
      <c r="I164" s="43"/>
      <c r="J164" s="43"/>
      <c r="K164" s="43"/>
      <c r="L164" s="43"/>
    </row>
    <row r="165" ht="13.5" customHeight="1">
      <c r="C165" s="43"/>
      <c r="D165" s="43"/>
      <c r="E165" s="43"/>
      <c r="F165" s="43"/>
      <c r="G165" s="43"/>
      <c r="H165" s="43"/>
      <c r="I165" s="43"/>
      <c r="J165" s="43"/>
      <c r="K165" s="43"/>
      <c r="L165" s="43"/>
    </row>
    <row r="166" ht="13.5" customHeight="1">
      <c r="C166" s="43"/>
      <c r="D166" s="43"/>
      <c r="E166" s="43"/>
      <c r="F166" s="43"/>
      <c r="G166" s="43"/>
      <c r="H166" s="43"/>
      <c r="I166" s="43"/>
      <c r="J166" s="43"/>
      <c r="K166" s="43"/>
      <c r="L166" s="43"/>
    </row>
    <row r="167" ht="13.5" customHeight="1">
      <c r="C167" s="43"/>
      <c r="D167" s="43"/>
      <c r="E167" s="43"/>
      <c r="F167" s="43"/>
      <c r="G167" s="43"/>
      <c r="H167" s="43"/>
      <c r="I167" s="43"/>
      <c r="J167" s="43"/>
      <c r="K167" s="43"/>
      <c r="L167" s="43"/>
    </row>
    <row r="168" ht="13.5" customHeight="1">
      <c r="C168" s="43"/>
      <c r="D168" s="43"/>
      <c r="E168" s="43"/>
      <c r="F168" s="43"/>
      <c r="G168" s="43"/>
      <c r="H168" s="43"/>
      <c r="I168" s="43"/>
      <c r="J168" s="43"/>
      <c r="K168" s="43"/>
      <c r="L168" s="43"/>
    </row>
    <row r="169" ht="13.5" customHeight="1">
      <c r="C169" s="43"/>
      <c r="D169" s="43"/>
      <c r="E169" s="43"/>
      <c r="F169" s="43"/>
      <c r="G169" s="43"/>
      <c r="H169" s="43"/>
      <c r="I169" s="43"/>
      <c r="J169" s="43"/>
      <c r="K169" s="43"/>
      <c r="L169" s="43"/>
    </row>
    <row r="170" ht="13.5" customHeight="1">
      <c r="C170" s="43"/>
      <c r="D170" s="43"/>
      <c r="E170" s="43"/>
      <c r="F170" s="43"/>
      <c r="G170" s="43"/>
      <c r="H170" s="43"/>
      <c r="I170" s="43"/>
      <c r="J170" s="43"/>
      <c r="K170" s="43"/>
      <c r="L170" s="43"/>
    </row>
    <row r="171" ht="13.5" customHeight="1">
      <c r="C171" s="43"/>
      <c r="D171" s="43"/>
      <c r="E171" s="43"/>
      <c r="F171" s="43"/>
      <c r="G171" s="43"/>
      <c r="H171" s="43"/>
      <c r="I171" s="43"/>
      <c r="J171" s="43"/>
      <c r="K171" s="43"/>
      <c r="L171" s="43"/>
    </row>
    <row r="172" ht="13.5" customHeight="1">
      <c r="C172" s="43"/>
      <c r="D172" s="43"/>
      <c r="E172" s="43"/>
      <c r="F172" s="43"/>
      <c r="G172" s="43"/>
      <c r="H172" s="43"/>
      <c r="I172" s="43"/>
      <c r="J172" s="43"/>
      <c r="K172" s="43"/>
      <c r="L172" s="43"/>
    </row>
    <row r="173" ht="13.5" customHeight="1">
      <c r="C173" s="43"/>
      <c r="D173" s="43"/>
      <c r="E173" s="43"/>
      <c r="F173" s="43"/>
      <c r="G173" s="43"/>
      <c r="H173" s="43"/>
      <c r="I173" s="43"/>
      <c r="J173" s="43"/>
      <c r="K173" s="43"/>
      <c r="L173" s="43"/>
    </row>
    <row r="174" ht="13.5" customHeight="1">
      <c r="C174" s="43"/>
      <c r="D174" s="43"/>
      <c r="E174" s="43"/>
      <c r="F174" s="43"/>
      <c r="G174" s="43"/>
      <c r="H174" s="43"/>
      <c r="I174" s="43"/>
      <c r="J174" s="43"/>
      <c r="K174" s="43"/>
      <c r="L174" s="43"/>
    </row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5">
    <mergeCell ref="A38:A41"/>
    <mergeCell ref="B38:B41"/>
    <mergeCell ref="A43:A46"/>
    <mergeCell ref="B43:B46"/>
    <mergeCell ref="A48:A51"/>
    <mergeCell ref="B48:B51"/>
    <mergeCell ref="B53:B56"/>
    <mergeCell ref="A53:A56"/>
    <mergeCell ref="A58:A61"/>
    <mergeCell ref="B58:B61"/>
    <mergeCell ref="A63:A66"/>
    <mergeCell ref="B63:B66"/>
    <mergeCell ref="A68:A71"/>
    <mergeCell ref="B68:B71"/>
    <mergeCell ref="A78:A81"/>
    <mergeCell ref="B78:B81"/>
    <mergeCell ref="A83:A86"/>
    <mergeCell ref="B83:B86"/>
    <mergeCell ref="A88:A91"/>
    <mergeCell ref="B88:B91"/>
    <mergeCell ref="B93:B96"/>
    <mergeCell ref="A93:A96"/>
    <mergeCell ref="A98:A101"/>
    <mergeCell ref="B98:B101"/>
    <mergeCell ref="A103:A106"/>
    <mergeCell ref="B103:B106"/>
    <mergeCell ref="A108:A111"/>
    <mergeCell ref="B108:B111"/>
    <mergeCell ref="A113:A116"/>
    <mergeCell ref="B113:B116"/>
    <mergeCell ref="A118:A121"/>
    <mergeCell ref="B118:B121"/>
    <mergeCell ref="A123:A126"/>
    <mergeCell ref="B123:B126"/>
    <mergeCell ref="B128:B131"/>
    <mergeCell ref="A148:A151"/>
    <mergeCell ref="B148:B151"/>
    <mergeCell ref="A153:A156"/>
    <mergeCell ref="B153:B156"/>
    <mergeCell ref="A128:A131"/>
    <mergeCell ref="A133:A136"/>
    <mergeCell ref="B133:B136"/>
    <mergeCell ref="A138:A141"/>
    <mergeCell ref="B138:B141"/>
    <mergeCell ref="A143:A146"/>
    <mergeCell ref="B143:B146"/>
    <mergeCell ref="C53:C54"/>
    <mergeCell ref="C55:C56"/>
    <mergeCell ref="C58:C59"/>
    <mergeCell ref="C60:C61"/>
    <mergeCell ref="C63:C64"/>
    <mergeCell ref="C65:C66"/>
    <mergeCell ref="C68:C69"/>
    <mergeCell ref="C70:C71"/>
    <mergeCell ref="C73:C74"/>
    <mergeCell ref="C75:C76"/>
    <mergeCell ref="C78:C79"/>
    <mergeCell ref="C80:C81"/>
    <mergeCell ref="C83:C84"/>
    <mergeCell ref="C85:C86"/>
    <mergeCell ref="C93:C94"/>
    <mergeCell ref="C95:C96"/>
    <mergeCell ref="C98:C99"/>
    <mergeCell ref="C100:C101"/>
    <mergeCell ref="C103:C104"/>
    <mergeCell ref="C105:C106"/>
    <mergeCell ref="C108:C109"/>
    <mergeCell ref="C110:C111"/>
    <mergeCell ref="C113:C114"/>
    <mergeCell ref="C115:C116"/>
    <mergeCell ref="C118:C119"/>
    <mergeCell ref="C120:C121"/>
    <mergeCell ref="C123:C124"/>
    <mergeCell ref="C125:C126"/>
    <mergeCell ref="C145:C146"/>
    <mergeCell ref="C148:C149"/>
    <mergeCell ref="C150:C151"/>
    <mergeCell ref="C153:C154"/>
    <mergeCell ref="C155:C156"/>
    <mergeCell ref="C128:C129"/>
    <mergeCell ref="C130:C131"/>
    <mergeCell ref="C133:C134"/>
    <mergeCell ref="C135:C136"/>
    <mergeCell ref="C138:C139"/>
    <mergeCell ref="C140:C141"/>
    <mergeCell ref="C143:C144"/>
    <mergeCell ref="H1:I1"/>
    <mergeCell ref="A3:A6"/>
    <mergeCell ref="B3:B6"/>
    <mergeCell ref="C3:C4"/>
    <mergeCell ref="C5:C6"/>
    <mergeCell ref="A8:A11"/>
    <mergeCell ref="B8:B11"/>
    <mergeCell ref="C8:C9"/>
    <mergeCell ref="C10:C11"/>
    <mergeCell ref="A13:A16"/>
    <mergeCell ref="B13:B16"/>
    <mergeCell ref="C13:C14"/>
    <mergeCell ref="B18:B21"/>
    <mergeCell ref="C20:C21"/>
    <mergeCell ref="A18:A21"/>
    <mergeCell ref="A23:A26"/>
    <mergeCell ref="B23:B26"/>
    <mergeCell ref="A28:A31"/>
    <mergeCell ref="B28:B31"/>
    <mergeCell ref="A33:A36"/>
    <mergeCell ref="B33:B36"/>
    <mergeCell ref="C15:C16"/>
    <mergeCell ref="C18:C19"/>
    <mergeCell ref="C23:C24"/>
    <mergeCell ref="C25:C26"/>
    <mergeCell ref="C28:C29"/>
    <mergeCell ref="C30:C31"/>
    <mergeCell ref="C33:C34"/>
    <mergeCell ref="C35:C36"/>
    <mergeCell ref="C38:C39"/>
    <mergeCell ref="C40:C41"/>
    <mergeCell ref="C43:C44"/>
    <mergeCell ref="C45:C46"/>
    <mergeCell ref="C48:C49"/>
    <mergeCell ref="C50:C51"/>
    <mergeCell ref="A73:A76"/>
    <mergeCell ref="B73:B76"/>
    <mergeCell ref="C88:C89"/>
    <mergeCell ref="C90:C9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8.71"/>
    <col customWidth="1" min="3" max="3" width="3.29"/>
    <col customWidth="1" min="4" max="4" width="10.0"/>
    <col customWidth="1" min="5" max="5" width="11.0"/>
    <col customWidth="1" min="6" max="6" width="10.29"/>
    <col customWidth="1" min="7" max="7" width="10.43"/>
    <col customWidth="1" min="8" max="8" width="10.86"/>
    <col customWidth="1" min="9" max="9" width="10.43"/>
    <col customWidth="1" min="10" max="10" width="6.71"/>
    <col customWidth="1" min="11" max="11" width="8.71"/>
    <col customWidth="1" min="12" max="12" width="8.43"/>
    <col customWidth="1" min="13" max="15" width="5.43"/>
    <col customWidth="1" min="16" max="24" width="8.71"/>
  </cols>
  <sheetData>
    <row r="1" ht="13.5" customHeight="1"/>
    <row r="2" ht="13.5" customHeight="1">
      <c r="B2" s="93">
        <f>'【大井町】売上'!B1</f>
        <v>46054</v>
      </c>
      <c r="C2" s="23"/>
      <c r="D2" s="94"/>
      <c r="E2" s="94"/>
      <c r="F2" s="94"/>
      <c r="G2" s="94"/>
      <c r="H2" s="94"/>
      <c r="I2" s="94"/>
      <c r="J2" s="95"/>
      <c r="K2" s="95"/>
      <c r="L2" s="95"/>
      <c r="M2" s="95"/>
      <c r="N2" s="95"/>
      <c r="O2" s="95"/>
      <c r="Q2" s="34"/>
    </row>
    <row r="3" ht="13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/>
      <c r="K3" s="1" t="s">
        <v>8</v>
      </c>
      <c r="L3" s="1" t="s">
        <v>12</v>
      </c>
      <c r="M3" s="1" t="s">
        <v>13</v>
      </c>
      <c r="N3" s="1" t="s">
        <v>14</v>
      </c>
      <c r="O3" s="1" t="s">
        <v>15</v>
      </c>
    </row>
    <row r="4" ht="13.5" customHeight="1">
      <c r="B4" s="10">
        <f>'【大井町】売上'!B4</f>
        <v>46054</v>
      </c>
      <c r="C4" s="11" t="str">
        <f>'【大井町】売上'!C4</f>
        <v>日</v>
      </c>
      <c r="D4" s="12">
        <f>'シフト3'!J7</f>
        <v>0</v>
      </c>
      <c r="E4" s="96">
        <f>'シフト3'!K7</f>
        <v>0</v>
      </c>
      <c r="F4" s="96">
        <f t="shared" ref="F4:F34" si="1">D4-E4</f>
        <v>0</v>
      </c>
      <c r="G4" s="13">
        <f>SUM(D4)</f>
        <v>0</v>
      </c>
      <c r="H4" s="13">
        <v>60000.0</v>
      </c>
      <c r="I4" s="13">
        <f>H4</f>
        <v>60000</v>
      </c>
      <c r="J4" s="14">
        <f t="shared" ref="J4:J34" si="2">G4/I4</f>
        <v>0</v>
      </c>
      <c r="K4" s="15">
        <f t="shared" ref="K4:K34" si="3">G4-I4</f>
        <v>-60000</v>
      </c>
      <c r="L4" s="16" t="str">
        <f t="shared" ref="L4:L34" si="4">D4/SUM(M4:O4)</f>
        <v>#DIV/0!</v>
      </c>
      <c r="M4" s="11">
        <f>'シフト2'!N6</f>
        <v>0</v>
      </c>
      <c r="N4" s="11">
        <f>'シフト2'!O6</f>
        <v>0</v>
      </c>
      <c r="O4" s="11">
        <f>'シフト3'!P6</f>
        <v>0</v>
      </c>
    </row>
    <row r="5" ht="13.5" customHeight="1">
      <c r="B5" s="10">
        <f>'【大井町】売上'!B5</f>
        <v>46055</v>
      </c>
      <c r="C5" s="11" t="str">
        <f>'【大井町】売上'!C5</f>
        <v>月</v>
      </c>
      <c r="D5" s="12">
        <f>'シフト3'!J12</f>
        <v>0</v>
      </c>
      <c r="E5" s="97">
        <f>'シフト3'!K12</f>
        <v>0</v>
      </c>
      <c r="F5" s="97">
        <f t="shared" si="1"/>
        <v>0</v>
      </c>
      <c r="G5" s="13">
        <f t="shared" ref="G5:G33" si="5">SUM(D5+G4)</f>
        <v>0</v>
      </c>
      <c r="H5" s="13">
        <v>60000.0</v>
      </c>
      <c r="I5" s="13">
        <f t="shared" ref="I5:I34" si="6">H5+I4</f>
        <v>120000</v>
      </c>
      <c r="J5" s="14">
        <f t="shared" si="2"/>
        <v>0</v>
      </c>
      <c r="K5" s="15">
        <f t="shared" si="3"/>
        <v>-120000</v>
      </c>
      <c r="L5" s="16">
        <f t="shared" si="4"/>
        <v>0</v>
      </c>
      <c r="M5" s="11">
        <f>'シフト2'!N11</f>
        <v>1</v>
      </c>
      <c r="N5" s="11">
        <f>'シフト2'!O11</f>
        <v>2</v>
      </c>
      <c r="O5" s="11">
        <f>'シフト3'!P11</f>
        <v>0</v>
      </c>
    </row>
    <row r="6" ht="13.5" customHeight="1">
      <c r="B6" s="10">
        <f>'【大井町】売上'!B6</f>
        <v>46056</v>
      </c>
      <c r="C6" s="11" t="str">
        <f>'【大井町】売上'!C6</f>
        <v>火</v>
      </c>
      <c r="D6" s="12">
        <f>'シフト3'!J17</f>
        <v>74000</v>
      </c>
      <c r="E6" s="97">
        <f>'シフト3'!K17</f>
        <v>42500</v>
      </c>
      <c r="F6" s="97">
        <f t="shared" si="1"/>
        <v>31500</v>
      </c>
      <c r="G6" s="13">
        <f t="shared" si="5"/>
        <v>74000</v>
      </c>
      <c r="H6" s="13">
        <v>60000.0</v>
      </c>
      <c r="I6" s="13">
        <f t="shared" si="6"/>
        <v>180000</v>
      </c>
      <c r="J6" s="14">
        <f t="shared" si="2"/>
        <v>0.4111111111</v>
      </c>
      <c r="K6" s="15">
        <f t="shared" si="3"/>
        <v>-106000</v>
      </c>
      <c r="L6" s="16">
        <f t="shared" si="4"/>
        <v>14800</v>
      </c>
      <c r="M6" s="11">
        <f>'シフト2'!N16</f>
        <v>0</v>
      </c>
      <c r="N6" s="11">
        <f>'シフト2'!O16</f>
        <v>4</v>
      </c>
      <c r="O6" s="11">
        <f>'シフト3'!P16</f>
        <v>1</v>
      </c>
    </row>
    <row r="7" ht="13.5" customHeight="1">
      <c r="B7" s="10">
        <f>'【大井町】売上'!B7</f>
        <v>46057</v>
      </c>
      <c r="C7" s="11" t="str">
        <f>'【大井町】売上'!C7</f>
        <v>水</v>
      </c>
      <c r="D7" s="12">
        <f>'シフト3'!J22</f>
        <v>27000</v>
      </c>
      <c r="E7" s="97">
        <f>'シフト3'!K22</f>
        <v>16000</v>
      </c>
      <c r="F7" s="97">
        <f t="shared" si="1"/>
        <v>11000</v>
      </c>
      <c r="G7" s="13">
        <f t="shared" si="5"/>
        <v>101000</v>
      </c>
      <c r="H7" s="13">
        <v>60000.0</v>
      </c>
      <c r="I7" s="13">
        <f t="shared" si="6"/>
        <v>240000</v>
      </c>
      <c r="J7" s="14">
        <f t="shared" si="2"/>
        <v>0.4208333333</v>
      </c>
      <c r="K7" s="15">
        <f t="shared" si="3"/>
        <v>-139000</v>
      </c>
      <c r="L7" s="16">
        <f t="shared" si="4"/>
        <v>6750</v>
      </c>
      <c r="M7" s="11">
        <f>'シフト2'!N21</f>
        <v>1</v>
      </c>
      <c r="N7" s="11">
        <f>'シフト2'!O21</f>
        <v>3</v>
      </c>
      <c r="O7" s="11">
        <f>'シフト3'!P21</f>
        <v>0</v>
      </c>
    </row>
    <row r="8" ht="13.5" customHeight="1">
      <c r="B8" s="10">
        <f>'【大井町】売上'!B8</f>
        <v>46058</v>
      </c>
      <c r="C8" s="11" t="str">
        <f>'【大井町】売上'!C8</f>
        <v>木</v>
      </c>
      <c r="D8" s="12">
        <f>'シフト3'!J27</f>
        <v>0</v>
      </c>
      <c r="E8" s="97">
        <f>'シフト3'!K27</f>
        <v>0</v>
      </c>
      <c r="F8" s="97">
        <f t="shared" si="1"/>
        <v>0</v>
      </c>
      <c r="G8" s="13">
        <f t="shared" si="5"/>
        <v>101000</v>
      </c>
      <c r="H8" s="13">
        <v>60000.0</v>
      </c>
      <c r="I8" s="13">
        <f t="shared" si="6"/>
        <v>300000</v>
      </c>
      <c r="J8" s="14">
        <f t="shared" si="2"/>
        <v>0.3366666667</v>
      </c>
      <c r="K8" s="15">
        <f t="shared" si="3"/>
        <v>-199000</v>
      </c>
      <c r="L8" s="16">
        <f t="shared" si="4"/>
        <v>0</v>
      </c>
      <c r="M8" s="11">
        <f>'シフト2'!N26</f>
        <v>0</v>
      </c>
      <c r="N8" s="11">
        <f>'シフト2'!O26</f>
        <v>5</v>
      </c>
      <c r="O8" s="11">
        <f>'シフト3'!P26</f>
        <v>0</v>
      </c>
    </row>
    <row r="9" ht="13.5" customHeight="1">
      <c r="A9" s="98"/>
      <c r="B9" s="10">
        <f>'【大井町】売上'!B9</f>
        <v>46059</v>
      </c>
      <c r="C9" s="11" t="str">
        <f>'【大井町】売上'!C9</f>
        <v>金</v>
      </c>
      <c r="D9" s="12">
        <f>'シフト3'!J32</f>
        <v>73000</v>
      </c>
      <c r="E9" s="97">
        <f>'シフト3'!K32</f>
        <v>41000</v>
      </c>
      <c r="F9" s="97">
        <f t="shared" si="1"/>
        <v>32000</v>
      </c>
      <c r="G9" s="13">
        <f t="shared" si="5"/>
        <v>174000</v>
      </c>
      <c r="H9" s="13">
        <v>60000.0</v>
      </c>
      <c r="I9" s="13">
        <f t="shared" si="6"/>
        <v>360000</v>
      </c>
      <c r="J9" s="14">
        <f t="shared" si="2"/>
        <v>0.4833333333</v>
      </c>
      <c r="K9" s="15">
        <f t="shared" si="3"/>
        <v>-186000</v>
      </c>
      <c r="L9" s="16">
        <f t="shared" si="4"/>
        <v>18250</v>
      </c>
      <c r="M9" s="11">
        <f>'シフト2'!N31</f>
        <v>0</v>
      </c>
      <c r="N9" s="11">
        <f>'シフト2'!O31</f>
        <v>4</v>
      </c>
      <c r="O9" s="11">
        <f>'シフト3'!P31</f>
        <v>0</v>
      </c>
    </row>
    <row r="10" ht="13.5" customHeight="1">
      <c r="A10" s="35"/>
      <c r="B10" s="10">
        <f>'【大井町】売上'!B10</f>
        <v>46060</v>
      </c>
      <c r="C10" s="11" t="str">
        <f>'【大井町】売上'!C10</f>
        <v>土</v>
      </c>
      <c r="D10" s="12">
        <f>'シフト3'!J37</f>
        <v>37000</v>
      </c>
      <c r="E10" s="97">
        <f>'シフト3'!K37</f>
        <v>20500</v>
      </c>
      <c r="F10" s="97">
        <f t="shared" si="1"/>
        <v>16500</v>
      </c>
      <c r="G10" s="13">
        <f t="shared" si="5"/>
        <v>211000</v>
      </c>
      <c r="H10" s="13">
        <v>60000.0</v>
      </c>
      <c r="I10" s="13">
        <f t="shared" si="6"/>
        <v>420000</v>
      </c>
      <c r="J10" s="14">
        <f t="shared" si="2"/>
        <v>0.5023809524</v>
      </c>
      <c r="K10" s="15">
        <f t="shared" si="3"/>
        <v>-209000</v>
      </c>
      <c r="L10" s="16">
        <f t="shared" si="4"/>
        <v>9250</v>
      </c>
      <c r="M10" s="11">
        <f>'シフト2'!N36</f>
        <v>3</v>
      </c>
      <c r="N10" s="11">
        <f>'シフト2'!O36</f>
        <v>1</v>
      </c>
      <c r="O10" s="11">
        <f>'シフト3'!P36</f>
        <v>0</v>
      </c>
    </row>
    <row r="11" ht="13.5" customHeight="1">
      <c r="A11" s="35">
        <f>SUM(D4:D10)</f>
        <v>211000</v>
      </c>
      <c r="B11" s="10">
        <f>'【大井町】売上'!B11</f>
        <v>46061</v>
      </c>
      <c r="C11" s="11" t="str">
        <f>'【大井町】売上'!C11</f>
        <v>日</v>
      </c>
      <c r="D11" s="12">
        <f>'シフト3'!J42</f>
        <v>49000</v>
      </c>
      <c r="E11" s="97">
        <f>'シフト3'!K42</f>
        <v>28000</v>
      </c>
      <c r="F11" s="97">
        <f t="shared" si="1"/>
        <v>21000</v>
      </c>
      <c r="G11" s="13">
        <f t="shared" si="5"/>
        <v>260000</v>
      </c>
      <c r="H11" s="13">
        <v>60000.0</v>
      </c>
      <c r="I11" s="13">
        <f t="shared" si="6"/>
        <v>480000</v>
      </c>
      <c r="J11" s="14">
        <f t="shared" si="2"/>
        <v>0.5416666667</v>
      </c>
      <c r="K11" s="15">
        <f t="shared" si="3"/>
        <v>-220000</v>
      </c>
      <c r="L11" s="16">
        <f t="shared" si="4"/>
        <v>24500</v>
      </c>
      <c r="M11" s="11">
        <f>'シフト2'!N41</f>
        <v>1</v>
      </c>
      <c r="N11" s="11">
        <f>'シフト2'!O41</f>
        <v>1</v>
      </c>
      <c r="O11" s="11">
        <f>'シフト3'!P41</f>
        <v>0</v>
      </c>
    </row>
    <row r="12" ht="13.5" customHeight="1">
      <c r="A12" s="35"/>
      <c r="B12" s="10">
        <f>'【大井町】売上'!B12</f>
        <v>46062</v>
      </c>
      <c r="C12" s="11" t="str">
        <f>'【大井町】売上'!C12</f>
        <v>月</v>
      </c>
      <c r="D12" s="12">
        <f>'シフト3'!J47</f>
        <v>32000</v>
      </c>
      <c r="E12" s="97">
        <f>'シフト3'!K47</f>
        <v>17500</v>
      </c>
      <c r="F12" s="97">
        <f t="shared" si="1"/>
        <v>14500</v>
      </c>
      <c r="G12" s="13">
        <f t="shared" si="5"/>
        <v>292000</v>
      </c>
      <c r="H12" s="13">
        <v>60000.0</v>
      </c>
      <c r="I12" s="13">
        <f t="shared" si="6"/>
        <v>540000</v>
      </c>
      <c r="J12" s="14">
        <f t="shared" si="2"/>
        <v>0.5407407407</v>
      </c>
      <c r="K12" s="15">
        <f t="shared" si="3"/>
        <v>-248000</v>
      </c>
      <c r="L12" s="16">
        <f t="shared" si="4"/>
        <v>4000</v>
      </c>
      <c r="M12" s="11">
        <f>'シフト2'!N46</f>
        <v>1</v>
      </c>
      <c r="N12" s="11">
        <f>'シフト2'!O46</f>
        <v>6</v>
      </c>
      <c r="O12" s="11">
        <f>'シフト3'!P46</f>
        <v>1</v>
      </c>
    </row>
    <row r="13" ht="13.5" customHeight="1">
      <c r="B13" s="10">
        <f>'【大井町】売上'!B13</f>
        <v>46063</v>
      </c>
      <c r="C13" s="11" t="str">
        <f>'【大井町】売上'!C13</f>
        <v>火</v>
      </c>
      <c r="D13" s="12">
        <f>'シフト3'!J52</f>
        <v>60000</v>
      </c>
      <c r="E13" s="97">
        <f>'シフト3'!K52</f>
        <v>35000</v>
      </c>
      <c r="F13" s="97">
        <f t="shared" si="1"/>
        <v>25000</v>
      </c>
      <c r="G13" s="13">
        <f t="shared" si="5"/>
        <v>352000</v>
      </c>
      <c r="H13" s="13">
        <v>60000.0</v>
      </c>
      <c r="I13" s="13">
        <f t="shared" si="6"/>
        <v>600000</v>
      </c>
      <c r="J13" s="14">
        <f t="shared" si="2"/>
        <v>0.5866666667</v>
      </c>
      <c r="K13" s="15">
        <f t="shared" si="3"/>
        <v>-248000</v>
      </c>
      <c r="L13" s="16">
        <f t="shared" si="4"/>
        <v>8571.428571</v>
      </c>
      <c r="M13" s="11">
        <f>'シフト2'!N51</f>
        <v>3</v>
      </c>
      <c r="N13" s="11">
        <f>'シフト2'!O51</f>
        <v>3</v>
      </c>
      <c r="O13" s="11">
        <f>'シフト3'!P51</f>
        <v>1</v>
      </c>
    </row>
    <row r="14" ht="13.5" customHeight="1">
      <c r="B14" s="10">
        <f>'【大井町】売上'!B14</f>
        <v>46064</v>
      </c>
      <c r="C14" s="11" t="str">
        <f>'【大井町】売上'!C14</f>
        <v>水</v>
      </c>
      <c r="D14" s="12">
        <f>'シフト3'!J57</f>
        <v>35000</v>
      </c>
      <c r="E14" s="97">
        <f>'シフト3'!K57</f>
        <v>21000</v>
      </c>
      <c r="F14" s="97">
        <f t="shared" si="1"/>
        <v>14000</v>
      </c>
      <c r="G14" s="13">
        <f t="shared" si="5"/>
        <v>387000</v>
      </c>
      <c r="H14" s="13">
        <v>60000.0</v>
      </c>
      <c r="I14" s="13">
        <f t="shared" si="6"/>
        <v>660000</v>
      </c>
      <c r="J14" s="14">
        <f t="shared" si="2"/>
        <v>0.5863636364</v>
      </c>
      <c r="K14" s="15">
        <f t="shared" si="3"/>
        <v>-273000</v>
      </c>
      <c r="L14" s="16">
        <f t="shared" si="4"/>
        <v>8750</v>
      </c>
      <c r="M14" s="11">
        <f>'シフト2'!N56</f>
        <v>1</v>
      </c>
      <c r="N14" s="11">
        <f>'シフト2'!O56</f>
        <v>3</v>
      </c>
      <c r="O14" s="11">
        <f>'シフト3'!P56</f>
        <v>0</v>
      </c>
    </row>
    <row r="15" ht="13.5" customHeight="1">
      <c r="B15" s="10">
        <f>'【大井町】売上'!B15</f>
        <v>46065</v>
      </c>
      <c r="C15" s="11" t="str">
        <f>'【大井町】売上'!C15</f>
        <v>木</v>
      </c>
      <c r="D15" s="12">
        <f>'シフト3'!J62</f>
        <v>25000</v>
      </c>
      <c r="E15" s="97">
        <f>'シフト3'!K62</f>
        <v>15000</v>
      </c>
      <c r="F15" s="97">
        <f t="shared" si="1"/>
        <v>10000</v>
      </c>
      <c r="G15" s="13">
        <f t="shared" si="5"/>
        <v>412000</v>
      </c>
      <c r="H15" s="13">
        <v>60000.0</v>
      </c>
      <c r="I15" s="13">
        <f t="shared" si="6"/>
        <v>720000</v>
      </c>
      <c r="J15" s="14">
        <f t="shared" si="2"/>
        <v>0.5722222222</v>
      </c>
      <c r="K15" s="15">
        <f t="shared" si="3"/>
        <v>-308000</v>
      </c>
      <c r="L15" s="16">
        <f t="shared" si="4"/>
        <v>6250</v>
      </c>
      <c r="M15" s="11">
        <f>'シフト2'!N61</f>
        <v>0</v>
      </c>
      <c r="N15" s="11">
        <f>'シフト2'!O61</f>
        <v>4</v>
      </c>
      <c r="O15" s="11">
        <f>'シフト3'!P61</f>
        <v>0</v>
      </c>
    </row>
    <row r="16" ht="13.5" customHeight="1">
      <c r="B16" s="10">
        <f>'【大井町】売上'!B16</f>
        <v>46066</v>
      </c>
      <c r="C16" s="11" t="str">
        <f>'【大井町】売上'!C16</f>
        <v>金</v>
      </c>
      <c r="D16" s="12">
        <f>'シフト3'!J67</f>
        <v>30000</v>
      </c>
      <c r="E16" s="97">
        <f>'シフト3'!K67</f>
        <v>17000</v>
      </c>
      <c r="F16" s="97">
        <f t="shared" si="1"/>
        <v>13000</v>
      </c>
      <c r="G16" s="13">
        <f t="shared" si="5"/>
        <v>442000</v>
      </c>
      <c r="H16" s="13">
        <v>60000.0</v>
      </c>
      <c r="I16" s="13">
        <f t="shared" si="6"/>
        <v>780000</v>
      </c>
      <c r="J16" s="14">
        <f t="shared" si="2"/>
        <v>0.5666666667</v>
      </c>
      <c r="K16" s="15">
        <f t="shared" si="3"/>
        <v>-338000</v>
      </c>
      <c r="L16" s="16">
        <f t="shared" si="4"/>
        <v>30000</v>
      </c>
      <c r="M16" s="11">
        <f>'シフト2'!N66</f>
        <v>0</v>
      </c>
      <c r="N16" s="11">
        <f>'シフト2'!O66</f>
        <v>1</v>
      </c>
      <c r="O16" s="11">
        <f>'シフト3'!P66</f>
        <v>0</v>
      </c>
    </row>
    <row r="17" ht="13.5" customHeight="1">
      <c r="A17" s="35"/>
      <c r="B17" s="10">
        <f>'【大井町】売上'!B17</f>
        <v>46067</v>
      </c>
      <c r="C17" s="11" t="str">
        <f>'【大井町】売上'!C17</f>
        <v>土</v>
      </c>
      <c r="D17" s="12">
        <f>'シフト3'!J72</f>
        <v>12000</v>
      </c>
      <c r="E17" s="97">
        <f>'シフト3'!K72</f>
        <v>7000</v>
      </c>
      <c r="F17" s="97">
        <f t="shared" si="1"/>
        <v>5000</v>
      </c>
      <c r="G17" s="13">
        <f t="shared" si="5"/>
        <v>454000</v>
      </c>
      <c r="H17" s="13">
        <v>60000.0</v>
      </c>
      <c r="I17" s="13">
        <f t="shared" si="6"/>
        <v>840000</v>
      </c>
      <c r="J17" s="14">
        <f t="shared" si="2"/>
        <v>0.5404761905</v>
      </c>
      <c r="K17" s="15">
        <f t="shared" si="3"/>
        <v>-386000</v>
      </c>
      <c r="L17" s="16">
        <f t="shared" si="4"/>
        <v>4000</v>
      </c>
      <c r="M17" s="11">
        <f>'シフト2'!N71</f>
        <v>0</v>
      </c>
      <c r="N17" s="11">
        <f>'シフト2'!O71</f>
        <v>3</v>
      </c>
      <c r="O17" s="11">
        <f>'シフト3'!P71</f>
        <v>0</v>
      </c>
    </row>
    <row r="18" ht="13.5" customHeight="1">
      <c r="A18" s="35">
        <f>SUM(D11:D17)</f>
        <v>243000</v>
      </c>
      <c r="B18" s="10">
        <f>'【大井町】売上'!B18</f>
        <v>46068</v>
      </c>
      <c r="C18" s="11" t="str">
        <f>'【大井町】売上'!C18</f>
        <v>日</v>
      </c>
      <c r="D18" s="12">
        <f>'シフト3'!J77</f>
        <v>83000</v>
      </c>
      <c r="E18" s="97">
        <f>'シフト3'!K77</f>
        <v>42500</v>
      </c>
      <c r="F18" s="97">
        <f t="shared" si="1"/>
        <v>40500</v>
      </c>
      <c r="G18" s="13">
        <f t="shared" si="5"/>
        <v>537000</v>
      </c>
      <c r="H18" s="13">
        <v>60000.0</v>
      </c>
      <c r="I18" s="13">
        <f t="shared" si="6"/>
        <v>900000</v>
      </c>
      <c r="J18" s="14">
        <f t="shared" si="2"/>
        <v>0.5966666667</v>
      </c>
      <c r="K18" s="15">
        <f t="shared" si="3"/>
        <v>-363000</v>
      </c>
      <c r="L18" s="17">
        <f t="shared" si="4"/>
        <v>27666.66667</v>
      </c>
      <c r="M18" s="11">
        <f>'シフト2'!N76</f>
        <v>0</v>
      </c>
      <c r="N18" s="11">
        <f>'シフト2'!O76</f>
        <v>3</v>
      </c>
      <c r="O18" s="11">
        <f>'シフト3'!P76</f>
        <v>0</v>
      </c>
    </row>
    <row r="19" ht="13.5" customHeight="1">
      <c r="A19" s="35"/>
      <c r="B19" s="10">
        <f>'【大井町】売上'!B19</f>
        <v>46069</v>
      </c>
      <c r="C19" s="11" t="str">
        <f>'【大井町】売上'!C19</f>
        <v>月</v>
      </c>
      <c r="D19" s="12">
        <f>'シフト3'!J82</f>
        <v>73000</v>
      </c>
      <c r="E19" s="97">
        <f>'シフト3'!K82</f>
        <v>42000</v>
      </c>
      <c r="F19" s="97">
        <f t="shared" si="1"/>
        <v>31000</v>
      </c>
      <c r="G19" s="13">
        <f t="shared" si="5"/>
        <v>610000</v>
      </c>
      <c r="H19" s="13">
        <v>60000.0</v>
      </c>
      <c r="I19" s="13">
        <f t="shared" si="6"/>
        <v>960000</v>
      </c>
      <c r="J19" s="14">
        <f t="shared" si="2"/>
        <v>0.6354166667</v>
      </c>
      <c r="K19" s="15">
        <f t="shared" si="3"/>
        <v>-350000</v>
      </c>
      <c r="L19" s="17">
        <f t="shared" si="4"/>
        <v>24333.33333</v>
      </c>
      <c r="M19" s="11">
        <f>'シフト2'!N81</f>
        <v>0</v>
      </c>
      <c r="N19" s="11">
        <f>'シフト2'!O81</f>
        <v>3</v>
      </c>
      <c r="O19" s="11">
        <f>'シフト3'!P81</f>
        <v>0</v>
      </c>
    </row>
    <row r="20" ht="13.5" customHeight="1">
      <c r="B20" s="10">
        <f>'【大井町】売上'!B20</f>
        <v>46070</v>
      </c>
      <c r="C20" s="11" t="str">
        <f>'【大井町】売上'!C20</f>
        <v>火</v>
      </c>
      <c r="D20" s="12">
        <f>'シフト3'!J87</f>
        <v>28000</v>
      </c>
      <c r="E20" s="97">
        <f>'シフト3'!K87</f>
        <v>17000</v>
      </c>
      <c r="F20" s="97">
        <f t="shared" si="1"/>
        <v>11000</v>
      </c>
      <c r="G20" s="13">
        <f t="shared" si="5"/>
        <v>638000</v>
      </c>
      <c r="H20" s="13">
        <v>60000.0</v>
      </c>
      <c r="I20" s="13">
        <f t="shared" si="6"/>
        <v>1020000</v>
      </c>
      <c r="J20" s="14">
        <f t="shared" si="2"/>
        <v>0.6254901961</v>
      </c>
      <c r="K20" s="15">
        <f t="shared" si="3"/>
        <v>-382000</v>
      </c>
      <c r="L20" s="17">
        <f t="shared" si="4"/>
        <v>4666.666667</v>
      </c>
      <c r="M20" s="11">
        <f>'シフト2'!N86</f>
        <v>1</v>
      </c>
      <c r="N20" s="11">
        <f>'シフト2'!O86</f>
        <v>5</v>
      </c>
      <c r="O20" s="11">
        <f>'シフト3'!P86</f>
        <v>0</v>
      </c>
    </row>
    <row r="21" ht="13.5" customHeight="1">
      <c r="B21" s="10">
        <f>'【大井町】売上'!B21</f>
        <v>46071</v>
      </c>
      <c r="C21" s="11" t="str">
        <f>'【大井町】売上'!C21</f>
        <v>水</v>
      </c>
      <c r="D21" s="12">
        <f>'シフト3'!J92</f>
        <v>59000</v>
      </c>
      <c r="E21" s="97">
        <f>'シフト3'!K92</f>
        <v>34500</v>
      </c>
      <c r="F21" s="97">
        <f t="shared" si="1"/>
        <v>24500</v>
      </c>
      <c r="G21" s="13">
        <f t="shared" si="5"/>
        <v>697000</v>
      </c>
      <c r="H21" s="13">
        <v>60000.0</v>
      </c>
      <c r="I21" s="13">
        <f t="shared" si="6"/>
        <v>1080000</v>
      </c>
      <c r="J21" s="14">
        <f t="shared" si="2"/>
        <v>0.6453703704</v>
      </c>
      <c r="K21" s="15">
        <f t="shared" si="3"/>
        <v>-383000</v>
      </c>
      <c r="L21" s="17">
        <f t="shared" si="4"/>
        <v>14750</v>
      </c>
      <c r="M21" s="11">
        <f>'シフト2'!N91</f>
        <v>0</v>
      </c>
      <c r="N21" s="11">
        <f>'シフト2'!O91</f>
        <v>3</v>
      </c>
      <c r="O21" s="11">
        <f>'シフト3'!P91</f>
        <v>1</v>
      </c>
    </row>
    <row r="22" ht="13.5" customHeight="1">
      <c r="B22" s="10">
        <f>'【大井町】売上'!B22</f>
        <v>46072</v>
      </c>
      <c r="C22" s="11" t="str">
        <f>'【大井町】売上'!C22</f>
        <v>木</v>
      </c>
      <c r="D22" s="12">
        <f>'シフト3'!J97</f>
        <v>47000</v>
      </c>
      <c r="E22" s="97">
        <f>'シフト3'!K97</f>
        <v>28500</v>
      </c>
      <c r="F22" s="97">
        <f t="shared" si="1"/>
        <v>18500</v>
      </c>
      <c r="G22" s="13">
        <f t="shared" si="5"/>
        <v>744000</v>
      </c>
      <c r="H22" s="13">
        <v>60000.0</v>
      </c>
      <c r="I22" s="13">
        <f t="shared" si="6"/>
        <v>1140000</v>
      </c>
      <c r="J22" s="14">
        <f t="shared" si="2"/>
        <v>0.6526315789</v>
      </c>
      <c r="K22" s="15">
        <f t="shared" si="3"/>
        <v>-396000</v>
      </c>
      <c r="L22" s="17">
        <f t="shared" si="4"/>
        <v>9400</v>
      </c>
      <c r="M22" s="11">
        <f>'シフト2'!N96</f>
        <v>1</v>
      </c>
      <c r="N22" s="11">
        <f>'シフト2'!O96</f>
        <v>4</v>
      </c>
      <c r="O22" s="11">
        <f>'シフト3'!P96</f>
        <v>0</v>
      </c>
    </row>
    <row r="23" ht="13.5" customHeight="1">
      <c r="B23" s="10">
        <f>'【大井町】売上'!B23</f>
        <v>46073</v>
      </c>
      <c r="C23" s="11" t="str">
        <f>'【大井町】売上'!C23</f>
        <v>金</v>
      </c>
      <c r="D23" s="12">
        <f>'シフト3'!J102</f>
        <v>45000</v>
      </c>
      <c r="E23" s="97">
        <f>'シフト3'!K102</f>
        <v>27670</v>
      </c>
      <c r="F23" s="97">
        <f t="shared" si="1"/>
        <v>17330</v>
      </c>
      <c r="G23" s="13">
        <f t="shared" si="5"/>
        <v>789000</v>
      </c>
      <c r="H23" s="13">
        <v>60000.0</v>
      </c>
      <c r="I23" s="13">
        <f t="shared" si="6"/>
        <v>1200000</v>
      </c>
      <c r="J23" s="14">
        <f t="shared" si="2"/>
        <v>0.6575</v>
      </c>
      <c r="K23" s="15">
        <f t="shared" si="3"/>
        <v>-411000</v>
      </c>
      <c r="L23" s="17">
        <f t="shared" si="4"/>
        <v>15000</v>
      </c>
      <c r="M23" s="11">
        <f>'シフト2'!N101</f>
        <v>0</v>
      </c>
      <c r="N23" s="11">
        <f>'シフト2'!O101</f>
        <v>2</v>
      </c>
      <c r="O23" s="11">
        <f>'シフト3'!P101</f>
        <v>1</v>
      </c>
    </row>
    <row r="24" ht="13.5" customHeight="1">
      <c r="A24" s="35"/>
      <c r="B24" s="10">
        <f>'【大井町】売上'!B24</f>
        <v>46074</v>
      </c>
      <c r="C24" s="11" t="str">
        <f>'【大井町】売上'!C24</f>
        <v>土</v>
      </c>
      <c r="D24" s="12">
        <f>'シフト3'!J107</f>
        <v>0</v>
      </c>
      <c r="E24" s="97">
        <f>'シフト3'!K107</f>
        <v>0</v>
      </c>
      <c r="F24" s="97">
        <f t="shared" si="1"/>
        <v>0</v>
      </c>
      <c r="G24" s="13">
        <f t="shared" si="5"/>
        <v>789000</v>
      </c>
      <c r="H24" s="13">
        <v>60000.0</v>
      </c>
      <c r="I24" s="13">
        <f t="shared" si="6"/>
        <v>1260000</v>
      </c>
      <c r="J24" s="14">
        <f t="shared" si="2"/>
        <v>0.6261904762</v>
      </c>
      <c r="K24" s="15">
        <f t="shared" si="3"/>
        <v>-471000</v>
      </c>
      <c r="L24" s="17">
        <f t="shared" si="4"/>
        <v>0</v>
      </c>
      <c r="M24" s="11">
        <f>'シフト2'!N106</f>
        <v>2</v>
      </c>
      <c r="N24" s="11">
        <f>'シフト2'!O106</f>
        <v>0</v>
      </c>
      <c r="O24" s="11">
        <f>'シフト3'!P106</f>
        <v>0</v>
      </c>
    </row>
    <row r="25" ht="13.5" customHeight="1">
      <c r="A25" s="35">
        <f>SUM(D18:D24)</f>
        <v>335000</v>
      </c>
      <c r="B25" s="10">
        <f>'【大井町】売上'!B25</f>
        <v>46075</v>
      </c>
      <c r="C25" s="11" t="str">
        <f>'【大井町】売上'!C25</f>
        <v>日</v>
      </c>
      <c r="D25" s="12">
        <f>'シフト3'!J112</f>
        <v>0</v>
      </c>
      <c r="E25" s="97">
        <f>'シフト3'!K112</f>
        <v>0</v>
      </c>
      <c r="F25" s="97">
        <f t="shared" si="1"/>
        <v>0</v>
      </c>
      <c r="G25" s="13">
        <f t="shared" si="5"/>
        <v>789000</v>
      </c>
      <c r="H25" s="13">
        <v>60000.0</v>
      </c>
      <c r="I25" s="13">
        <f t="shared" si="6"/>
        <v>1320000</v>
      </c>
      <c r="J25" s="14">
        <f t="shared" si="2"/>
        <v>0.5977272727</v>
      </c>
      <c r="K25" s="15">
        <f t="shared" si="3"/>
        <v>-531000</v>
      </c>
      <c r="L25" s="17">
        <f t="shared" si="4"/>
        <v>0</v>
      </c>
      <c r="M25" s="11">
        <f>'シフト2'!N111</f>
        <v>3</v>
      </c>
      <c r="N25" s="11">
        <f>'シフト2'!O111</f>
        <v>2</v>
      </c>
      <c r="O25" s="11">
        <f>'シフト3'!P111</f>
        <v>0</v>
      </c>
    </row>
    <row r="26" ht="13.5" customHeight="1">
      <c r="A26" s="35"/>
      <c r="B26" s="10">
        <f>'【大井町】売上'!B26</f>
        <v>46076</v>
      </c>
      <c r="C26" s="11" t="str">
        <f>'【大井町】売上'!C26</f>
        <v>月</v>
      </c>
      <c r="D26" s="12">
        <f>'シフト3'!J117</f>
        <v>0</v>
      </c>
      <c r="E26" s="97">
        <f>'シフト3'!K117</f>
        <v>0</v>
      </c>
      <c r="F26" s="97">
        <f t="shared" si="1"/>
        <v>0</v>
      </c>
      <c r="G26" s="13">
        <f t="shared" si="5"/>
        <v>789000</v>
      </c>
      <c r="H26" s="13">
        <v>60000.0</v>
      </c>
      <c r="I26" s="13">
        <f t="shared" si="6"/>
        <v>1380000</v>
      </c>
      <c r="J26" s="14">
        <f t="shared" si="2"/>
        <v>0.5717391304</v>
      </c>
      <c r="K26" s="15">
        <f t="shared" si="3"/>
        <v>-591000</v>
      </c>
      <c r="L26" s="17" t="str">
        <f t="shared" si="4"/>
        <v>#DIV/0!</v>
      </c>
      <c r="M26" s="11">
        <f>'シフト2'!N116</f>
        <v>0</v>
      </c>
      <c r="N26" s="11">
        <f>'シフト2'!O116</f>
        <v>0</v>
      </c>
      <c r="O26" s="11">
        <f>'シフト3'!P116</f>
        <v>0</v>
      </c>
    </row>
    <row r="27" ht="13.5" customHeight="1">
      <c r="B27" s="10">
        <f>'【大井町】売上'!B27</f>
        <v>46077</v>
      </c>
      <c r="C27" s="11" t="str">
        <f>'【大井町】売上'!C27</f>
        <v>火</v>
      </c>
      <c r="D27" s="12">
        <f>'シフト3'!J122</f>
        <v>0</v>
      </c>
      <c r="E27" s="97">
        <f>'シフト3'!K122</f>
        <v>0</v>
      </c>
      <c r="F27" s="97">
        <f t="shared" si="1"/>
        <v>0</v>
      </c>
      <c r="G27" s="13">
        <f t="shared" si="5"/>
        <v>789000</v>
      </c>
      <c r="H27" s="13">
        <v>60000.0</v>
      </c>
      <c r="I27" s="13">
        <f t="shared" si="6"/>
        <v>1440000</v>
      </c>
      <c r="J27" s="14">
        <f t="shared" si="2"/>
        <v>0.5479166667</v>
      </c>
      <c r="K27" s="15">
        <f t="shared" si="3"/>
        <v>-651000</v>
      </c>
      <c r="L27" s="17" t="str">
        <f t="shared" si="4"/>
        <v>#DIV/0!</v>
      </c>
      <c r="M27" s="11">
        <f>'シフト2'!N121</f>
        <v>0</v>
      </c>
      <c r="N27" s="11">
        <f>'シフト2'!O121</f>
        <v>0</v>
      </c>
      <c r="O27" s="11">
        <f>'シフト3'!P121</f>
        <v>0</v>
      </c>
    </row>
    <row r="28" ht="13.5" customHeight="1">
      <c r="B28" s="10">
        <f>'【大井町】売上'!B28</f>
        <v>46078</v>
      </c>
      <c r="C28" s="11" t="str">
        <f>'【大井町】売上'!C28</f>
        <v>水</v>
      </c>
      <c r="D28" s="12">
        <f>'シフト3'!J127</f>
        <v>0</v>
      </c>
      <c r="E28" s="97">
        <f>'シフト3'!K127</f>
        <v>0</v>
      </c>
      <c r="F28" s="97">
        <f t="shared" si="1"/>
        <v>0</v>
      </c>
      <c r="G28" s="13">
        <f t="shared" si="5"/>
        <v>789000</v>
      </c>
      <c r="H28" s="13">
        <v>60000.0</v>
      </c>
      <c r="I28" s="13">
        <f t="shared" si="6"/>
        <v>1500000</v>
      </c>
      <c r="J28" s="14">
        <f t="shared" si="2"/>
        <v>0.526</v>
      </c>
      <c r="K28" s="15">
        <f t="shared" si="3"/>
        <v>-711000</v>
      </c>
      <c r="L28" s="17" t="str">
        <f t="shared" si="4"/>
        <v>#DIV/0!</v>
      </c>
      <c r="M28" s="11">
        <f>'シフト2'!N126</f>
        <v>0</v>
      </c>
      <c r="N28" s="11">
        <f>'シフト2'!O126</f>
        <v>0</v>
      </c>
      <c r="O28" s="11">
        <f>'シフト3'!P126</f>
        <v>0</v>
      </c>
    </row>
    <row r="29" ht="13.5" customHeight="1">
      <c r="B29" s="10">
        <f>'【大井町】売上'!B29</f>
        <v>46079</v>
      </c>
      <c r="C29" s="11" t="str">
        <f>'【大井町】売上'!C29</f>
        <v>木</v>
      </c>
      <c r="D29" s="12">
        <f>'シフト3'!J132</f>
        <v>0</v>
      </c>
      <c r="E29" s="97">
        <f>'シフト3'!K132</f>
        <v>0</v>
      </c>
      <c r="F29" s="97">
        <f t="shared" si="1"/>
        <v>0</v>
      </c>
      <c r="G29" s="13">
        <f t="shared" si="5"/>
        <v>789000</v>
      </c>
      <c r="H29" s="13">
        <v>60000.0</v>
      </c>
      <c r="I29" s="13">
        <f t="shared" si="6"/>
        <v>1560000</v>
      </c>
      <c r="J29" s="14">
        <f t="shared" si="2"/>
        <v>0.5057692308</v>
      </c>
      <c r="K29" s="15">
        <f t="shared" si="3"/>
        <v>-771000</v>
      </c>
      <c r="L29" s="17" t="str">
        <f t="shared" si="4"/>
        <v>#DIV/0!</v>
      </c>
      <c r="M29" s="11">
        <f>'シフト2'!N131</f>
        <v>0</v>
      </c>
      <c r="N29" s="11">
        <f>'シフト2'!O131</f>
        <v>0</v>
      </c>
      <c r="O29" s="11">
        <f>'シフト3'!P131</f>
        <v>0</v>
      </c>
    </row>
    <row r="30" ht="13.5" customHeight="1">
      <c r="B30" s="10">
        <f>'【大井町】売上'!B30</f>
        <v>46080</v>
      </c>
      <c r="C30" s="11" t="str">
        <f>'【大井町】売上'!C30</f>
        <v>金</v>
      </c>
      <c r="D30" s="12">
        <f>'シフト3'!J137</f>
        <v>0</v>
      </c>
      <c r="E30" s="97">
        <f>'シフト3'!K137</f>
        <v>0</v>
      </c>
      <c r="F30" s="97">
        <f t="shared" si="1"/>
        <v>0</v>
      </c>
      <c r="G30" s="13">
        <f t="shared" si="5"/>
        <v>789000</v>
      </c>
      <c r="H30" s="13">
        <v>60000.0</v>
      </c>
      <c r="I30" s="13">
        <f t="shared" si="6"/>
        <v>1620000</v>
      </c>
      <c r="J30" s="14">
        <f t="shared" si="2"/>
        <v>0.487037037</v>
      </c>
      <c r="K30" s="15">
        <f t="shared" si="3"/>
        <v>-831000</v>
      </c>
      <c r="L30" s="17" t="str">
        <f t="shared" si="4"/>
        <v>#DIV/0!</v>
      </c>
      <c r="M30" s="11">
        <f>'シフト2'!N136</f>
        <v>0</v>
      </c>
      <c r="N30" s="11">
        <f>'シフト2'!O136</f>
        <v>0</v>
      </c>
      <c r="O30" s="11">
        <f>'シフト3'!P136</f>
        <v>0</v>
      </c>
    </row>
    <row r="31" ht="13.5" customHeight="1">
      <c r="A31" s="35"/>
      <c r="B31" s="10">
        <f>'【大井町】売上'!B31</f>
        <v>46081</v>
      </c>
      <c r="C31" s="11" t="str">
        <f>'【大井町】売上'!C31</f>
        <v>土</v>
      </c>
      <c r="D31" s="12">
        <f>'シフト3'!J142</f>
        <v>0</v>
      </c>
      <c r="E31" s="97">
        <f>'シフト3'!K142</f>
        <v>0</v>
      </c>
      <c r="F31" s="97">
        <f t="shared" si="1"/>
        <v>0</v>
      </c>
      <c r="G31" s="13">
        <f t="shared" si="5"/>
        <v>789000</v>
      </c>
      <c r="H31" s="13">
        <v>60000.0</v>
      </c>
      <c r="I31" s="13">
        <f t="shared" si="6"/>
        <v>1680000</v>
      </c>
      <c r="J31" s="14">
        <f t="shared" si="2"/>
        <v>0.4696428571</v>
      </c>
      <c r="K31" s="15">
        <f t="shared" si="3"/>
        <v>-891000</v>
      </c>
      <c r="L31" s="17" t="str">
        <f t="shared" si="4"/>
        <v>#DIV/0!</v>
      </c>
      <c r="M31" s="11">
        <f>'シフト2'!N141</f>
        <v>0</v>
      </c>
      <c r="N31" s="11">
        <f>'シフト2'!O141</f>
        <v>0</v>
      </c>
      <c r="O31" s="11">
        <f>'シフト3'!P141</f>
        <v>0</v>
      </c>
    </row>
    <row r="32" ht="13.5" customHeight="1">
      <c r="A32" s="35">
        <f>SUM(D25:D31)</f>
        <v>0</v>
      </c>
      <c r="B32" s="10" t="str">
        <f>'【大井町】売上'!B32</f>
        <v/>
      </c>
      <c r="C32" s="11" t="str">
        <f>'【大井町】売上'!C32</f>
        <v/>
      </c>
      <c r="D32" s="12">
        <f>'シフト3'!J147</f>
        <v>0</v>
      </c>
      <c r="E32" s="97">
        <f>'シフト3'!K147</f>
        <v>0</v>
      </c>
      <c r="F32" s="97">
        <f t="shared" si="1"/>
        <v>0</v>
      </c>
      <c r="G32" s="13">
        <f t="shared" si="5"/>
        <v>789000</v>
      </c>
      <c r="H32" s="13">
        <v>60000.0</v>
      </c>
      <c r="I32" s="13">
        <f t="shared" si="6"/>
        <v>1740000</v>
      </c>
      <c r="J32" s="14">
        <f t="shared" si="2"/>
        <v>0.4534482759</v>
      </c>
      <c r="K32" s="15">
        <f t="shared" si="3"/>
        <v>-951000</v>
      </c>
      <c r="L32" s="17" t="str">
        <f t="shared" si="4"/>
        <v>#DIV/0!</v>
      </c>
      <c r="M32" s="11">
        <f>'シフト2'!N146</f>
        <v>0</v>
      </c>
      <c r="N32" s="11">
        <f>'シフト2'!O146</f>
        <v>0</v>
      </c>
      <c r="O32" s="11">
        <f>'シフト3'!P146</f>
        <v>0</v>
      </c>
    </row>
    <row r="33" ht="13.5" customHeight="1">
      <c r="A33" s="35">
        <f>SUM(D27:D33)</f>
        <v>0</v>
      </c>
      <c r="B33" s="10" t="str">
        <f>'【大井町】売上'!B33</f>
        <v/>
      </c>
      <c r="C33" s="11" t="str">
        <f>'【大井町】売上'!C33</f>
        <v/>
      </c>
      <c r="D33" s="33">
        <f>'シフト3'!J152</f>
        <v>0</v>
      </c>
      <c r="E33" s="33">
        <f>'シフト3'!K152</f>
        <v>0</v>
      </c>
      <c r="F33" s="33">
        <f t="shared" si="1"/>
        <v>0</v>
      </c>
      <c r="G33" s="13">
        <f t="shared" si="5"/>
        <v>789000</v>
      </c>
      <c r="H33" s="13">
        <v>60000.0</v>
      </c>
      <c r="I33" s="13">
        <f t="shared" si="6"/>
        <v>1800000</v>
      </c>
      <c r="J33" s="14">
        <f t="shared" si="2"/>
        <v>0.4383333333</v>
      </c>
      <c r="K33" s="15">
        <f t="shared" si="3"/>
        <v>-1011000</v>
      </c>
      <c r="L33" s="16" t="str">
        <f t="shared" si="4"/>
        <v>#DIV/0!</v>
      </c>
      <c r="M33" s="11">
        <f>'シフト2'!N151</f>
        <v>0</v>
      </c>
      <c r="N33" s="11">
        <f>'シフト2'!O151</f>
        <v>0</v>
      </c>
      <c r="O33" s="11">
        <f>'シフト3'!P151</f>
        <v>0</v>
      </c>
    </row>
    <row r="34" ht="13.5" customHeight="1">
      <c r="B34" s="10" t="str">
        <f>'【大井町】売上'!B34</f>
        <v/>
      </c>
      <c r="C34" s="11" t="str">
        <f>'【大井町】売上'!C34</f>
        <v/>
      </c>
      <c r="D34" s="33">
        <f>'シフト3'!J157</f>
        <v>0</v>
      </c>
      <c r="E34" s="33">
        <f>'シフト3'!K157</f>
        <v>0</v>
      </c>
      <c r="F34" s="33">
        <f t="shared" si="1"/>
        <v>0</v>
      </c>
      <c r="G34" s="13">
        <f>G33+D34</f>
        <v>789000</v>
      </c>
      <c r="H34" s="13">
        <v>60000.0</v>
      </c>
      <c r="I34" s="13">
        <f t="shared" si="6"/>
        <v>1860000</v>
      </c>
      <c r="J34" s="14">
        <f t="shared" si="2"/>
        <v>0.4241935484</v>
      </c>
      <c r="K34" s="15">
        <f t="shared" si="3"/>
        <v>-1071000</v>
      </c>
      <c r="L34" s="16" t="str">
        <f t="shared" si="4"/>
        <v>#DIV/0!</v>
      </c>
      <c r="M34" s="11">
        <f>'シフト2'!N156</f>
        <v>0</v>
      </c>
      <c r="N34" s="11">
        <f>'シフト2'!O156</f>
        <v>0</v>
      </c>
      <c r="O34" s="11">
        <f>'シフト3'!P156</f>
        <v>0</v>
      </c>
    </row>
    <row r="35" ht="13.5" customHeight="1">
      <c r="B35" s="18" t="s">
        <v>10</v>
      </c>
      <c r="C35" s="18"/>
      <c r="D35" s="19">
        <f t="shared" ref="D35:E35" si="7">SUM(D4:D34)</f>
        <v>789000</v>
      </c>
      <c r="E35" s="19">
        <f t="shared" si="7"/>
        <v>452670</v>
      </c>
      <c r="F35" s="19">
        <f>SUM(D35-E35)</f>
        <v>336330</v>
      </c>
      <c r="G35" s="13">
        <f>SUM(G34)</f>
        <v>789000</v>
      </c>
      <c r="H35" s="13">
        <f>SUM(H4:H34)</f>
        <v>1860000</v>
      </c>
      <c r="I35" s="13">
        <f>H35</f>
        <v>1860000</v>
      </c>
      <c r="J35" s="13"/>
      <c r="K35" s="20">
        <v>0.0</v>
      </c>
      <c r="L35" s="21">
        <f>AVERAGEIF(L4:L34,"&lt;&gt;#DIV/0!")</f>
        <v>10997.05215</v>
      </c>
      <c r="M35" s="11">
        <f>SUM(M4:M33)</f>
        <v>18</v>
      </c>
      <c r="N35" s="11">
        <f t="shared" ref="N35:O35" si="8">SUM(N4:N34)</f>
        <v>62</v>
      </c>
      <c r="O35" s="11">
        <f t="shared" si="8"/>
        <v>5</v>
      </c>
    </row>
    <row r="36" ht="13.5" customHeight="1">
      <c r="L36" s="41"/>
      <c r="M36" s="41">
        <f>M35/(M35+N35+O35)</f>
        <v>0.2117647059</v>
      </c>
      <c r="N36" s="41">
        <f>N35/(M35+N35+O35)</f>
        <v>0.7294117647</v>
      </c>
      <c r="O36" s="34">
        <f>O35/(M35+N35+O35)</f>
        <v>0.05882352941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2:C2"/>
  </mergeCells>
  <printOptions/>
  <pageMargins bottom="0.75" footer="0.0" header="0.0" left="0.7" right="0.7" top="0.75"/>
  <pageSetup scale="11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4.29"/>
    <col customWidth="1" min="3" max="3" width="8.71"/>
    <col customWidth="1" min="4" max="4" width="10.71"/>
    <col customWidth="1" min="5" max="7" width="8.71"/>
    <col customWidth="1" min="8" max="8" width="3.29"/>
    <col customWidth="1" min="9" max="9" width="8.71"/>
    <col customWidth="1" min="10" max="12" width="10.71"/>
    <col customWidth="1" min="13" max="26" width="8.71"/>
  </cols>
  <sheetData>
    <row r="1" ht="35.25" customHeight="1">
      <c r="A1" s="99"/>
      <c r="B1" s="100"/>
      <c r="C1" s="99"/>
      <c r="D1" s="128" t="s">
        <v>34</v>
      </c>
      <c r="E1" s="129"/>
      <c r="F1" s="102"/>
      <c r="G1" s="102"/>
      <c r="H1" s="103"/>
      <c r="J1" s="102"/>
      <c r="K1" s="102"/>
      <c r="L1" s="43"/>
      <c r="M1" s="43"/>
      <c r="N1" s="43"/>
      <c r="O1" s="43"/>
      <c r="P1" s="43"/>
      <c r="Q1" s="43"/>
      <c r="R1" s="43"/>
    </row>
    <row r="2" ht="13.5" customHeight="1">
      <c r="A2" s="99"/>
      <c r="B2" s="99"/>
      <c r="C2" s="99"/>
      <c r="D2" s="102"/>
      <c r="E2" s="102" t="s">
        <v>25</v>
      </c>
      <c r="F2" s="102" t="s">
        <v>3</v>
      </c>
      <c r="G2" s="102" t="s">
        <v>4</v>
      </c>
      <c r="H2" s="102"/>
      <c r="I2" s="102"/>
      <c r="J2" s="102" t="s">
        <v>25</v>
      </c>
      <c r="K2" s="102" t="s">
        <v>3</v>
      </c>
      <c r="L2" s="102" t="s">
        <v>4</v>
      </c>
      <c r="M2" s="43"/>
      <c r="N2" s="43"/>
      <c r="O2" s="43"/>
      <c r="P2" s="43"/>
      <c r="Q2" s="43"/>
      <c r="R2" s="43"/>
    </row>
    <row r="3" ht="16.5" customHeight="1">
      <c r="A3" s="46">
        <v>1.0</v>
      </c>
      <c r="B3" s="47" t="str">
        <f>'【大井町】売上'!C4</f>
        <v>日</v>
      </c>
      <c r="C3" s="118" t="s">
        <v>26</v>
      </c>
      <c r="D3" s="76" t="str">
        <f>'管理シフト'!P6</f>
        <v/>
      </c>
      <c r="E3" s="80"/>
      <c r="F3" s="81"/>
      <c r="G3" s="78">
        <f>E3-F3</f>
        <v>0</v>
      </c>
      <c r="H3" s="79"/>
      <c r="I3" s="76" t="str">
        <f>'管理シフト'!S6</f>
        <v>てるみ</v>
      </c>
      <c r="J3" s="80"/>
      <c r="K3" s="81"/>
      <c r="L3" s="78">
        <f>J3-K3</f>
        <v>0</v>
      </c>
      <c r="M3" s="43"/>
      <c r="N3" s="43"/>
      <c r="O3" s="43"/>
      <c r="P3" s="43"/>
      <c r="Q3" s="43"/>
      <c r="R3" s="43"/>
    </row>
    <row r="4" ht="13.5" customHeight="1">
      <c r="A4" s="55"/>
      <c r="B4" s="56"/>
      <c r="C4" s="109"/>
      <c r="D4" s="122" t="s">
        <v>27</v>
      </c>
      <c r="E4" s="77"/>
      <c r="F4" s="77"/>
      <c r="G4" s="84"/>
      <c r="H4" s="79"/>
      <c r="I4" s="122" t="s">
        <v>27</v>
      </c>
      <c r="J4" s="77"/>
      <c r="K4" s="77"/>
      <c r="L4" s="84"/>
      <c r="M4" s="43"/>
      <c r="N4" s="43"/>
      <c r="O4" s="43"/>
      <c r="P4" s="43"/>
      <c r="Q4" s="43"/>
      <c r="R4" s="43"/>
    </row>
    <row r="5" ht="16.5" customHeight="1">
      <c r="A5" s="55"/>
      <c r="B5" s="56"/>
      <c r="C5" s="118" t="s">
        <v>28</v>
      </c>
      <c r="D5" s="85" t="str">
        <f>'管理シフト'!P7</f>
        <v/>
      </c>
      <c r="E5" s="80"/>
      <c r="F5" s="81"/>
      <c r="G5" s="78">
        <f>E5-F5</f>
        <v>0</v>
      </c>
      <c r="H5" s="79"/>
      <c r="I5" s="85" t="str">
        <f>'管理シフト'!S7</f>
        <v>ののはダミー</v>
      </c>
      <c r="J5" s="80"/>
      <c r="K5" s="81"/>
      <c r="L5" s="78">
        <f>J5-K5</f>
        <v>0</v>
      </c>
      <c r="M5" s="43"/>
      <c r="N5" s="54" t="s">
        <v>13</v>
      </c>
      <c r="O5" s="54" t="s">
        <v>14</v>
      </c>
      <c r="P5" s="54" t="s">
        <v>15</v>
      </c>
      <c r="Q5" s="43"/>
      <c r="R5" s="43"/>
    </row>
    <row r="6" ht="13.5" customHeight="1">
      <c r="A6" s="63"/>
      <c r="B6" s="64"/>
      <c r="C6" s="109"/>
      <c r="D6" s="122" t="s">
        <v>27</v>
      </c>
      <c r="E6" s="77"/>
      <c r="F6" s="77"/>
      <c r="G6" s="84"/>
      <c r="H6" s="79"/>
      <c r="I6" s="122" t="s">
        <v>27</v>
      </c>
      <c r="J6" s="77"/>
      <c r="K6" s="77"/>
      <c r="L6" s="84"/>
      <c r="M6" s="43"/>
      <c r="N6" s="43">
        <f t="shared" ref="N6:P6" si="1">E4+E6+J4+J6</f>
        <v>0</v>
      </c>
      <c r="O6" s="43">
        <f t="shared" si="1"/>
        <v>0</v>
      </c>
      <c r="P6" s="43">
        <f t="shared" si="1"/>
        <v>0</v>
      </c>
      <c r="Q6" s="43"/>
      <c r="R6" s="43"/>
    </row>
    <row r="7" ht="13.5" customHeight="1">
      <c r="A7" s="43"/>
      <c r="B7" s="65"/>
      <c r="C7" s="87"/>
      <c r="D7" s="130"/>
      <c r="E7" s="88"/>
      <c r="F7" s="88"/>
      <c r="G7" s="79"/>
      <c r="H7" s="79"/>
      <c r="I7" s="131"/>
      <c r="J7" s="87">
        <f t="shared" ref="J7:K7" si="2">E3+E5+J3+J5</f>
        <v>0</v>
      </c>
      <c r="K7" s="87">
        <f t="shared" si="2"/>
        <v>0</v>
      </c>
      <c r="L7" s="87">
        <f>SUM(G3+G5+L3+L5+Q3+Q5)</f>
        <v>0</v>
      </c>
      <c r="M7" s="43"/>
      <c r="N7" s="43"/>
      <c r="O7" s="43"/>
      <c r="P7" s="43"/>
      <c r="Q7" s="43"/>
      <c r="R7" s="43"/>
    </row>
    <row r="8" ht="16.5" customHeight="1">
      <c r="A8" s="46">
        <v>2.0</v>
      </c>
      <c r="B8" s="70" t="str">
        <f>'【大井町】売上'!C5</f>
        <v>月</v>
      </c>
      <c r="C8" s="118" t="s">
        <v>26</v>
      </c>
      <c r="D8" s="76" t="str">
        <f>'管理シフト'!P9</f>
        <v/>
      </c>
      <c r="E8" s="80"/>
      <c r="F8" s="81"/>
      <c r="G8" s="78">
        <f>E8-F8</f>
        <v>0</v>
      </c>
      <c r="H8" s="79"/>
      <c r="I8" s="76" t="str">
        <f>'管理シフト'!S9</f>
        <v>南さなダミー</v>
      </c>
      <c r="J8" s="80"/>
      <c r="K8" s="81"/>
      <c r="L8" s="78">
        <f>J8-K8</f>
        <v>0</v>
      </c>
      <c r="M8" s="43"/>
      <c r="N8" s="43"/>
      <c r="O8" s="43"/>
      <c r="P8" s="43"/>
      <c r="Q8" s="43"/>
      <c r="R8" s="43"/>
    </row>
    <row r="9" ht="13.5" customHeight="1">
      <c r="A9" s="55"/>
      <c r="B9" s="56"/>
      <c r="C9" s="109"/>
      <c r="D9" s="122" t="s">
        <v>27</v>
      </c>
      <c r="E9" s="77"/>
      <c r="F9" s="77"/>
      <c r="G9" s="84"/>
      <c r="H9" s="79"/>
      <c r="I9" s="122" t="s">
        <v>27</v>
      </c>
      <c r="J9" s="77"/>
      <c r="K9" s="77"/>
      <c r="L9" s="84"/>
      <c r="M9" s="43"/>
      <c r="N9" s="43"/>
      <c r="O9" s="43"/>
      <c r="P9" s="43"/>
      <c r="Q9" s="43"/>
      <c r="R9" s="43"/>
    </row>
    <row r="10" ht="16.5" customHeight="1">
      <c r="A10" s="55"/>
      <c r="B10" s="56"/>
      <c r="C10" s="118" t="s">
        <v>28</v>
      </c>
      <c r="D10" s="85" t="str">
        <f>'管理シフト'!P10</f>
        <v/>
      </c>
      <c r="E10" s="80"/>
      <c r="F10" s="81"/>
      <c r="G10" s="78">
        <f>E10-F10</f>
        <v>0</v>
      </c>
      <c r="H10" s="79"/>
      <c r="I10" s="85" t="str">
        <f>'管理シフト'!S10</f>
        <v/>
      </c>
      <c r="J10" s="80"/>
      <c r="K10" s="81"/>
      <c r="L10" s="78">
        <f>J10-K10</f>
        <v>0</v>
      </c>
      <c r="M10" s="43"/>
      <c r="N10" s="54"/>
      <c r="O10" s="54" t="s">
        <v>14</v>
      </c>
      <c r="P10" s="54" t="s">
        <v>15</v>
      </c>
      <c r="Q10" s="43"/>
      <c r="R10" s="43"/>
    </row>
    <row r="11" ht="13.5" customHeight="1">
      <c r="A11" s="63"/>
      <c r="B11" s="64"/>
      <c r="C11" s="109"/>
      <c r="D11" s="122" t="s">
        <v>27</v>
      </c>
      <c r="E11" s="77"/>
      <c r="F11" s="77"/>
      <c r="G11" s="84"/>
      <c r="H11" s="79"/>
      <c r="I11" s="122" t="s">
        <v>27</v>
      </c>
      <c r="J11" s="77"/>
      <c r="K11" s="77"/>
      <c r="L11" s="84"/>
      <c r="M11" s="43"/>
      <c r="N11" s="43">
        <f t="shared" ref="N11:P11" si="3">E9+E11+J9+J11</f>
        <v>0</v>
      </c>
      <c r="O11" s="43">
        <f t="shared" si="3"/>
        <v>0</v>
      </c>
      <c r="P11" s="43">
        <f t="shared" si="3"/>
        <v>0</v>
      </c>
      <c r="Q11" s="43"/>
      <c r="R11" s="43"/>
    </row>
    <row r="12" ht="13.5" customHeight="1">
      <c r="A12" s="43"/>
      <c r="B12" s="65"/>
      <c r="C12" s="87"/>
      <c r="D12" s="130"/>
      <c r="E12" s="88"/>
      <c r="F12" s="88"/>
      <c r="G12" s="79"/>
      <c r="H12" s="79"/>
      <c r="I12" s="131"/>
      <c r="J12" s="87">
        <f t="shared" ref="J12:K12" si="4">E8+E10+J8+J10</f>
        <v>0</v>
      </c>
      <c r="K12" s="87">
        <f t="shared" si="4"/>
        <v>0</v>
      </c>
      <c r="L12" s="87">
        <f>SUM(G8+G10+L8+L10+Q8+Q10)</f>
        <v>0</v>
      </c>
      <c r="M12" s="43"/>
      <c r="N12" s="43"/>
      <c r="O12" s="43"/>
      <c r="P12" s="43"/>
      <c r="Q12" s="43"/>
      <c r="R12" s="43"/>
    </row>
    <row r="13" ht="16.5" customHeight="1">
      <c r="A13" s="46">
        <v>3.0</v>
      </c>
      <c r="B13" s="70" t="str">
        <f>'【大井町】売上'!C6</f>
        <v>火</v>
      </c>
      <c r="C13" s="118" t="s">
        <v>26</v>
      </c>
      <c r="D13" s="76" t="str">
        <f>'管理シフト'!P12</f>
        <v>ゆかり</v>
      </c>
      <c r="E13" s="80"/>
      <c r="F13" s="81"/>
      <c r="G13" s="78">
        <f>E13-F13</f>
        <v>0</v>
      </c>
      <c r="H13" s="79"/>
      <c r="I13" s="76" t="str">
        <f>'管理シフト'!S12</f>
        <v/>
      </c>
      <c r="J13" s="80">
        <v>34000.0</v>
      </c>
      <c r="K13" s="81">
        <v>19000.0</v>
      </c>
      <c r="L13" s="78">
        <f>J13-K13</f>
        <v>15000</v>
      </c>
      <c r="M13" s="43"/>
      <c r="N13" s="43"/>
      <c r="O13" s="43"/>
      <c r="P13" s="43"/>
      <c r="Q13" s="43"/>
      <c r="R13" s="43"/>
      <c r="S13" s="34" t="s">
        <v>32</v>
      </c>
    </row>
    <row r="14" ht="13.5" customHeight="1">
      <c r="A14" s="55"/>
      <c r="B14" s="56"/>
      <c r="C14" s="109"/>
      <c r="D14" s="122" t="s">
        <v>27</v>
      </c>
      <c r="E14" s="77"/>
      <c r="F14" s="77"/>
      <c r="G14" s="84"/>
      <c r="H14" s="79"/>
      <c r="I14" s="122" t="s">
        <v>27</v>
      </c>
      <c r="J14" s="77">
        <v>1.0</v>
      </c>
      <c r="K14" s="77">
        <v>1.0</v>
      </c>
      <c r="L14" s="84">
        <v>0.0</v>
      </c>
      <c r="M14" s="43"/>
      <c r="N14" s="43"/>
      <c r="O14" s="43"/>
      <c r="P14" s="43"/>
      <c r="Q14" s="43"/>
      <c r="R14" s="43"/>
    </row>
    <row r="15" ht="16.5" customHeight="1">
      <c r="A15" s="55"/>
      <c r="B15" s="56"/>
      <c r="C15" s="118" t="s">
        <v>28</v>
      </c>
      <c r="D15" s="85" t="str">
        <f>'管理シフト'!P13</f>
        <v>わかダミー</v>
      </c>
      <c r="E15" s="80">
        <v>40000.0</v>
      </c>
      <c r="F15" s="81">
        <v>23500.0</v>
      </c>
      <c r="G15" s="78">
        <f>E15-F15</f>
        <v>16500</v>
      </c>
      <c r="H15" s="79"/>
      <c r="I15" s="85" t="str">
        <f>'管理シフト'!S13</f>
        <v>ほのか</v>
      </c>
      <c r="J15" s="80"/>
      <c r="K15" s="81"/>
      <c r="L15" s="78">
        <f>J15-K15</f>
        <v>0</v>
      </c>
      <c r="M15" s="43"/>
      <c r="N15" s="54" t="s">
        <v>13</v>
      </c>
      <c r="O15" s="54" t="s">
        <v>14</v>
      </c>
      <c r="P15" s="54" t="s">
        <v>15</v>
      </c>
      <c r="Q15" s="43"/>
      <c r="R15" s="43"/>
    </row>
    <row r="16" ht="13.5" customHeight="1">
      <c r="A16" s="63"/>
      <c r="B16" s="64"/>
      <c r="C16" s="109"/>
      <c r="D16" s="122" t="s">
        <v>27</v>
      </c>
      <c r="E16" s="77">
        <v>0.0</v>
      </c>
      <c r="F16" s="77">
        <v>1.0</v>
      </c>
      <c r="G16" s="84">
        <v>1.0</v>
      </c>
      <c r="H16" s="79"/>
      <c r="I16" s="122" t="s">
        <v>27</v>
      </c>
      <c r="J16" s="77"/>
      <c r="K16" s="77"/>
      <c r="L16" s="84"/>
      <c r="M16" s="43"/>
      <c r="N16" s="43">
        <f t="shared" ref="N16:P16" si="5">E14+E16+J14+J16</f>
        <v>1</v>
      </c>
      <c r="O16" s="43">
        <f t="shared" si="5"/>
        <v>2</v>
      </c>
      <c r="P16" s="43">
        <f t="shared" si="5"/>
        <v>1</v>
      </c>
      <c r="Q16" s="43"/>
      <c r="R16" s="43"/>
    </row>
    <row r="17" ht="13.5" customHeight="1">
      <c r="A17" s="43"/>
      <c r="B17" s="65"/>
      <c r="C17" s="87"/>
      <c r="D17" s="130"/>
      <c r="E17" s="88"/>
      <c r="F17" s="88"/>
      <c r="G17" s="79"/>
      <c r="H17" s="79"/>
      <c r="I17" s="131"/>
      <c r="J17" s="87">
        <f t="shared" ref="J17:K17" si="6">E13+E15+J13+J15</f>
        <v>74000</v>
      </c>
      <c r="K17" s="87">
        <f t="shared" si="6"/>
        <v>42500</v>
      </c>
      <c r="L17" s="87">
        <f>SUM(G13+G15+L13+L15+Q13+Q15)</f>
        <v>31500</v>
      </c>
      <c r="M17" s="43"/>
      <c r="N17" s="43"/>
      <c r="O17" s="43"/>
      <c r="P17" s="43"/>
      <c r="Q17" s="43"/>
      <c r="R17" s="43"/>
    </row>
    <row r="18" ht="16.5" customHeight="1">
      <c r="A18" s="46">
        <v>4.0</v>
      </c>
      <c r="B18" s="70" t="str">
        <f>'【大井町】売上'!C7</f>
        <v>水</v>
      </c>
      <c r="C18" s="118" t="s">
        <v>26</v>
      </c>
      <c r="D18" s="76" t="str">
        <f>'管理シフト'!P15</f>
        <v>まな</v>
      </c>
      <c r="E18" s="80"/>
      <c r="F18" s="81"/>
      <c r="G18" s="78">
        <f>E18-F18</f>
        <v>0</v>
      </c>
      <c r="H18" s="79"/>
      <c r="I18" s="76" t="str">
        <f>'管理シフト'!S15</f>
        <v>さな南ダミー</v>
      </c>
      <c r="J18" s="80"/>
      <c r="K18" s="81"/>
      <c r="L18" s="78">
        <f>J18-K18</f>
        <v>0</v>
      </c>
      <c r="M18" s="43"/>
      <c r="N18" s="43"/>
      <c r="O18" s="43"/>
      <c r="P18" s="43"/>
      <c r="Q18" s="43"/>
      <c r="R18" s="43"/>
    </row>
    <row r="19" ht="13.5" customHeight="1">
      <c r="A19" s="55"/>
      <c r="B19" s="56"/>
      <c r="C19" s="109"/>
      <c r="D19" s="122" t="s">
        <v>27</v>
      </c>
      <c r="E19" s="77"/>
      <c r="F19" s="77"/>
      <c r="G19" s="84"/>
      <c r="H19" s="79"/>
      <c r="I19" s="122" t="s">
        <v>27</v>
      </c>
      <c r="J19" s="77"/>
      <c r="K19" s="77"/>
      <c r="L19" s="84"/>
      <c r="M19" s="43"/>
      <c r="N19" s="43"/>
      <c r="O19" s="43"/>
      <c r="P19" s="43"/>
      <c r="Q19" s="43"/>
      <c r="R19" s="43"/>
      <c r="V19" s="34"/>
    </row>
    <row r="20" ht="16.5" customHeight="1">
      <c r="A20" s="55"/>
      <c r="B20" s="56"/>
      <c r="C20" s="118" t="s">
        <v>28</v>
      </c>
      <c r="D20" s="85" t="str">
        <f>'管理シフト'!P16</f>
        <v/>
      </c>
      <c r="E20" s="80">
        <v>27000.0</v>
      </c>
      <c r="F20" s="81">
        <v>16000.0</v>
      </c>
      <c r="G20" s="78">
        <f>E20-F20</f>
        <v>11000</v>
      </c>
      <c r="H20" s="79"/>
      <c r="I20" s="85" t="str">
        <f>'管理シフト'!S16</f>
        <v/>
      </c>
      <c r="J20" s="80"/>
      <c r="K20" s="81"/>
      <c r="L20" s="78">
        <f>J20-K20</f>
        <v>0</v>
      </c>
      <c r="M20" s="43"/>
      <c r="N20" s="54" t="s">
        <v>13</v>
      </c>
      <c r="O20" s="54" t="s">
        <v>14</v>
      </c>
      <c r="P20" s="54" t="s">
        <v>15</v>
      </c>
      <c r="Q20" s="43"/>
      <c r="R20" s="43"/>
      <c r="V20" s="34"/>
    </row>
    <row r="21" ht="13.5" customHeight="1">
      <c r="A21" s="63"/>
      <c r="B21" s="64"/>
      <c r="C21" s="109"/>
      <c r="D21" s="122" t="s">
        <v>27</v>
      </c>
      <c r="E21" s="77">
        <v>2.0</v>
      </c>
      <c r="F21" s="77">
        <v>0.0</v>
      </c>
      <c r="G21" s="84">
        <v>0.0</v>
      </c>
      <c r="H21" s="79"/>
      <c r="I21" s="122" t="s">
        <v>27</v>
      </c>
      <c r="J21" s="77"/>
      <c r="K21" s="77"/>
      <c r="L21" s="84"/>
      <c r="M21" s="43"/>
      <c r="N21" s="43">
        <f t="shared" ref="N21:P21" si="7">E19+E21+J19+J21</f>
        <v>2</v>
      </c>
      <c r="O21" s="43">
        <f t="shared" si="7"/>
        <v>0</v>
      </c>
      <c r="P21" s="43">
        <f t="shared" si="7"/>
        <v>0</v>
      </c>
      <c r="Q21" s="43"/>
      <c r="R21" s="43"/>
    </row>
    <row r="22" ht="13.5" customHeight="1">
      <c r="A22" s="43"/>
      <c r="B22" s="65"/>
      <c r="C22" s="87"/>
      <c r="D22" s="130"/>
      <c r="E22" s="88"/>
      <c r="F22" s="88"/>
      <c r="G22" s="79"/>
      <c r="H22" s="79"/>
      <c r="I22" s="131"/>
      <c r="J22" s="87">
        <f t="shared" ref="J22:K22" si="8">E18+E20+J18+J20</f>
        <v>27000</v>
      </c>
      <c r="K22" s="87">
        <f t="shared" si="8"/>
        <v>16000</v>
      </c>
      <c r="L22" s="87">
        <f>SUM(G18+G20+L18+L20+Q18+Q20)</f>
        <v>11000</v>
      </c>
      <c r="M22" s="43"/>
      <c r="N22" s="43"/>
      <c r="O22" s="43"/>
      <c r="P22" s="43"/>
      <c r="Q22" s="43"/>
      <c r="R22" s="43"/>
    </row>
    <row r="23" ht="16.5" customHeight="1">
      <c r="A23" s="46">
        <v>5.0</v>
      </c>
      <c r="B23" s="70" t="str">
        <f>'【大井町】売上'!C8</f>
        <v>木</v>
      </c>
      <c r="C23" s="118" t="s">
        <v>26</v>
      </c>
      <c r="D23" s="76" t="str">
        <f>'管理シフト'!P18</f>
        <v>あかりダミー</v>
      </c>
      <c r="E23" s="80"/>
      <c r="F23" s="81"/>
      <c r="G23" s="78">
        <f>E23-F23</f>
        <v>0</v>
      </c>
      <c r="H23" s="79"/>
      <c r="I23" s="76" t="str">
        <f>'管理シフト'!S18</f>
        <v/>
      </c>
      <c r="J23" s="80">
        <v>0.0</v>
      </c>
      <c r="K23" s="81">
        <v>0.0</v>
      </c>
      <c r="L23" s="78">
        <f>J23-K23</f>
        <v>0</v>
      </c>
      <c r="M23" s="43"/>
      <c r="N23" s="43"/>
      <c r="O23" s="43"/>
      <c r="P23" s="43"/>
      <c r="Q23" s="43"/>
      <c r="R23" s="43"/>
    </row>
    <row r="24" ht="13.5" customHeight="1">
      <c r="A24" s="55"/>
      <c r="B24" s="56"/>
      <c r="C24" s="109"/>
      <c r="D24" s="122" t="s">
        <v>27</v>
      </c>
      <c r="E24" s="77"/>
      <c r="F24" s="77"/>
      <c r="G24" s="84"/>
      <c r="H24" s="79"/>
      <c r="I24" s="122" t="s">
        <v>27</v>
      </c>
      <c r="J24" s="77"/>
      <c r="K24" s="77"/>
      <c r="L24" s="84"/>
      <c r="M24" s="43"/>
      <c r="N24" s="43"/>
      <c r="O24" s="43"/>
      <c r="P24" s="43"/>
      <c r="Q24" s="43"/>
      <c r="R24" s="43"/>
    </row>
    <row r="25" ht="16.5" customHeight="1">
      <c r="A25" s="55"/>
      <c r="B25" s="56"/>
      <c r="C25" s="118" t="s">
        <v>28</v>
      </c>
      <c r="D25" s="85" t="str">
        <f>'管理シフト'!P19</f>
        <v>しずか</v>
      </c>
      <c r="E25" s="80"/>
      <c r="F25" s="81"/>
      <c r="G25" s="78">
        <f>E25-F25</f>
        <v>0</v>
      </c>
      <c r="H25" s="79"/>
      <c r="I25" s="85" t="str">
        <f>'管理シフト'!S19</f>
        <v/>
      </c>
      <c r="J25" s="80"/>
      <c r="K25" s="81"/>
      <c r="L25" s="78">
        <f>J25-K25</f>
        <v>0</v>
      </c>
      <c r="M25" s="43"/>
      <c r="N25" s="54" t="s">
        <v>13</v>
      </c>
      <c r="O25" s="54" t="s">
        <v>14</v>
      </c>
      <c r="P25" s="54" t="s">
        <v>15</v>
      </c>
      <c r="Q25" s="43"/>
      <c r="R25" s="43"/>
    </row>
    <row r="26" ht="13.5" customHeight="1">
      <c r="A26" s="63"/>
      <c r="B26" s="64"/>
      <c r="C26" s="109"/>
      <c r="D26" s="122" t="s">
        <v>27</v>
      </c>
      <c r="E26" s="77"/>
      <c r="F26" s="77"/>
      <c r="G26" s="84"/>
      <c r="H26" s="79"/>
      <c r="I26" s="122" t="s">
        <v>27</v>
      </c>
      <c r="J26" s="77"/>
      <c r="K26" s="77"/>
      <c r="L26" s="84"/>
      <c r="M26" s="43"/>
      <c r="N26" s="43">
        <f t="shared" ref="N26:P26" si="9">E24+E26+J24+J26</f>
        <v>0</v>
      </c>
      <c r="O26" s="43">
        <f t="shared" si="9"/>
        <v>0</v>
      </c>
      <c r="P26" s="43">
        <f t="shared" si="9"/>
        <v>0</v>
      </c>
      <c r="Q26" s="43"/>
      <c r="R26" s="43"/>
    </row>
    <row r="27" ht="13.5" customHeight="1">
      <c r="A27" s="43"/>
      <c r="B27" s="65"/>
      <c r="C27" s="87"/>
      <c r="D27" s="130"/>
      <c r="E27" s="88"/>
      <c r="F27" s="88"/>
      <c r="G27" s="79"/>
      <c r="H27" s="79"/>
      <c r="I27" s="131"/>
      <c r="J27" s="87">
        <f t="shared" ref="J27:K27" si="10">E23+E25+J23+J25</f>
        <v>0</v>
      </c>
      <c r="K27" s="87">
        <f t="shared" si="10"/>
        <v>0</v>
      </c>
      <c r="L27" s="87">
        <f>SUM(G23+G25+L23+L25+Q23+Q25)</f>
        <v>0</v>
      </c>
      <c r="M27" s="43"/>
      <c r="N27" s="43"/>
      <c r="O27" s="43"/>
      <c r="P27" s="43"/>
      <c r="Q27" s="43"/>
      <c r="R27" s="43"/>
    </row>
    <row r="28" ht="16.5" customHeight="1">
      <c r="A28" s="46">
        <v>6.0</v>
      </c>
      <c r="B28" s="70" t="str">
        <f>'【大井町】売上'!C9</f>
        <v>金</v>
      </c>
      <c r="C28" s="105" t="s">
        <v>26</v>
      </c>
      <c r="D28" s="49" t="str">
        <f>'管理シフト'!P21</f>
        <v/>
      </c>
      <c r="E28" s="50">
        <v>50000.0</v>
      </c>
      <c r="F28" s="51">
        <v>28000.0</v>
      </c>
      <c r="G28" s="52">
        <f>E28-F28</f>
        <v>22000</v>
      </c>
      <c r="H28" s="53"/>
      <c r="I28" s="49" t="str">
        <f>'管理シフト'!S21</f>
        <v/>
      </c>
      <c r="J28" s="50">
        <v>10000.0</v>
      </c>
      <c r="K28" s="51">
        <v>6000.0</v>
      </c>
      <c r="L28" s="52">
        <f>J28-K28</f>
        <v>4000</v>
      </c>
      <c r="M28" s="43"/>
      <c r="N28" s="43"/>
      <c r="O28" s="43"/>
      <c r="P28" s="43"/>
      <c r="Q28" s="43"/>
      <c r="R28" s="43"/>
    </row>
    <row r="29" ht="13.5" customHeight="1">
      <c r="A29" s="55"/>
      <c r="B29" s="56"/>
      <c r="C29" s="109"/>
      <c r="D29" s="110" t="s">
        <v>27</v>
      </c>
      <c r="E29" s="59">
        <v>2.0</v>
      </c>
      <c r="F29" s="59">
        <v>1.0</v>
      </c>
      <c r="G29" s="60">
        <v>0.0</v>
      </c>
      <c r="H29" s="53"/>
      <c r="I29" s="110" t="s">
        <v>27</v>
      </c>
      <c r="J29" s="59">
        <v>1.0</v>
      </c>
      <c r="K29" s="59">
        <v>0.0</v>
      </c>
      <c r="L29" s="60">
        <v>0.0</v>
      </c>
      <c r="M29" s="43"/>
      <c r="N29" s="43"/>
      <c r="O29" s="43"/>
      <c r="P29" s="43"/>
      <c r="Q29" s="43"/>
      <c r="R29" s="43"/>
    </row>
    <row r="30" ht="16.5" customHeight="1">
      <c r="A30" s="55"/>
      <c r="B30" s="56"/>
      <c r="C30" s="105" t="s">
        <v>28</v>
      </c>
      <c r="D30" s="62" t="str">
        <f>'管理シフト'!P22</f>
        <v>ほのか</v>
      </c>
      <c r="E30" s="50">
        <v>0.0</v>
      </c>
      <c r="F30" s="51">
        <v>0.0</v>
      </c>
      <c r="G30" s="52">
        <f>E30-F30</f>
        <v>0</v>
      </c>
      <c r="H30" s="53"/>
      <c r="I30" s="62" t="str">
        <f>'管理シフト'!S22</f>
        <v>ちあき</v>
      </c>
      <c r="J30" s="50">
        <v>13000.0</v>
      </c>
      <c r="K30" s="51">
        <v>7000.0</v>
      </c>
      <c r="L30" s="52">
        <f>J30-K30</f>
        <v>6000</v>
      </c>
      <c r="M30" s="43"/>
      <c r="N30" s="54" t="s">
        <v>13</v>
      </c>
      <c r="O30" s="54" t="s">
        <v>14</v>
      </c>
      <c r="P30" s="54" t="s">
        <v>15</v>
      </c>
      <c r="Q30" s="43"/>
      <c r="R30" s="43"/>
    </row>
    <row r="31" ht="13.5" customHeight="1">
      <c r="A31" s="63"/>
      <c r="B31" s="64"/>
      <c r="C31" s="109"/>
      <c r="D31" s="110" t="s">
        <v>27</v>
      </c>
      <c r="E31" s="59"/>
      <c r="F31" s="59"/>
      <c r="G31" s="60"/>
      <c r="H31" s="53"/>
      <c r="I31" s="110"/>
      <c r="J31" s="59">
        <v>1.0</v>
      </c>
      <c r="K31" s="59">
        <v>0.0</v>
      </c>
      <c r="L31" s="60">
        <v>0.0</v>
      </c>
      <c r="M31" s="43"/>
      <c r="N31" s="43">
        <f t="shared" ref="N31:P31" si="11">E29+E31+J29+J31</f>
        <v>4</v>
      </c>
      <c r="O31" s="43">
        <f t="shared" si="11"/>
        <v>1</v>
      </c>
      <c r="P31" s="43">
        <f t="shared" si="11"/>
        <v>0</v>
      </c>
      <c r="Q31" s="43"/>
      <c r="R31" s="43"/>
    </row>
    <row r="32" ht="13.5" customHeight="1">
      <c r="A32" s="43"/>
      <c r="B32" s="65"/>
      <c r="C32" s="69"/>
      <c r="D32" s="66"/>
      <c r="E32" s="67"/>
      <c r="F32" s="67"/>
      <c r="G32" s="53"/>
      <c r="H32" s="53"/>
      <c r="I32" s="112"/>
      <c r="J32" s="69">
        <f t="shared" ref="J32:K32" si="12">E28+E30+J28+J30</f>
        <v>73000</v>
      </c>
      <c r="K32" s="69">
        <f t="shared" si="12"/>
        <v>41000</v>
      </c>
      <c r="L32" s="69">
        <f>SUM(G28+G30+L28+L30+Q28+Q30)</f>
        <v>32000</v>
      </c>
      <c r="M32" s="43"/>
      <c r="N32" s="43"/>
      <c r="O32" s="43"/>
      <c r="P32" s="43"/>
      <c r="Q32" s="43"/>
      <c r="R32" s="43"/>
    </row>
    <row r="33" ht="16.5" customHeight="1">
      <c r="A33" s="46">
        <v>7.0</v>
      </c>
      <c r="B33" s="70" t="str">
        <f>'【大井町】売上'!C10</f>
        <v>土</v>
      </c>
      <c r="C33" s="105" t="s">
        <v>26</v>
      </c>
      <c r="D33" s="49" t="str">
        <f>'管理シフト'!P24</f>
        <v>まな</v>
      </c>
      <c r="E33" s="50">
        <v>37000.0</v>
      </c>
      <c r="F33" s="51">
        <v>20500.0</v>
      </c>
      <c r="G33" s="52">
        <f>E33-F33</f>
        <v>16500</v>
      </c>
      <c r="H33" s="53"/>
      <c r="I33" s="49" t="str">
        <f>'管理シフト'!S24</f>
        <v>かずは</v>
      </c>
      <c r="J33" s="50"/>
      <c r="K33" s="51"/>
      <c r="L33" s="52">
        <f>J33-K33</f>
        <v>0</v>
      </c>
      <c r="M33" s="43"/>
      <c r="N33" s="43"/>
      <c r="O33" s="43"/>
      <c r="P33" s="43"/>
      <c r="Q33" s="43"/>
      <c r="R33" s="43"/>
    </row>
    <row r="34" ht="13.5" customHeight="1">
      <c r="A34" s="55"/>
      <c r="B34" s="56"/>
      <c r="C34" s="109"/>
      <c r="D34" s="110" t="s">
        <v>27</v>
      </c>
      <c r="E34" s="59">
        <v>1.0</v>
      </c>
      <c r="F34" s="59">
        <v>1.0</v>
      </c>
      <c r="G34" s="60">
        <v>0.0</v>
      </c>
      <c r="H34" s="53"/>
      <c r="I34" s="110" t="s">
        <v>27</v>
      </c>
      <c r="J34" s="59"/>
      <c r="K34" s="59"/>
      <c r="L34" s="60"/>
      <c r="M34" s="43"/>
      <c r="N34" s="43"/>
      <c r="O34" s="43"/>
      <c r="P34" s="43"/>
      <c r="Q34" s="43"/>
      <c r="R34" s="43"/>
    </row>
    <row r="35" ht="16.5" customHeight="1">
      <c r="A35" s="55"/>
      <c r="B35" s="56"/>
      <c r="C35" s="105" t="s">
        <v>28</v>
      </c>
      <c r="D35" s="62" t="str">
        <f>'管理シフト'!P25</f>
        <v/>
      </c>
      <c r="E35" s="50"/>
      <c r="F35" s="51"/>
      <c r="G35" s="52">
        <f>E35-F35</f>
        <v>0</v>
      </c>
      <c r="H35" s="53"/>
      <c r="I35" s="62" t="str">
        <f>'管理シフト'!S25</f>
        <v>ゆい</v>
      </c>
      <c r="J35" s="50"/>
      <c r="K35" s="51"/>
      <c r="L35" s="52">
        <f>J35-K35</f>
        <v>0</v>
      </c>
      <c r="M35" s="43"/>
      <c r="N35" s="54" t="s">
        <v>13</v>
      </c>
      <c r="O35" s="54" t="s">
        <v>14</v>
      </c>
      <c r="P35" s="54" t="s">
        <v>15</v>
      </c>
      <c r="Q35" s="43"/>
      <c r="R35" s="43"/>
    </row>
    <row r="36" ht="13.5" customHeight="1">
      <c r="A36" s="63"/>
      <c r="B36" s="64"/>
      <c r="C36" s="109"/>
      <c r="D36" s="110" t="s">
        <v>27</v>
      </c>
      <c r="E36" s="59"/>
      <c r="F36" s="59"/>
      <c r="G36" s="60"/>
      <c r="H36" s="53"/>
      <c r="I36" s="110" t="s">
        <v>27</v>
      </c>
      <c r="J36" s="59"/>
      <c r="K36" s="59"/>
      <c r="L36" s="60"/>
      <c r="M36" s="43"/>
      <c r="N36" s="43">
        <f t="shared" ref="N36:P36" si="13">E34+E36+J34+J36</f>
        <v>1</v>
      </c>
      <c r="O36" s="43">
        <f t="shared" si="13"/>
        <v>1</v>
      </c>
      <c r="P36" s="43">
        <f t="shared" si="13"/>
        <v>0</v>
      </c>
      <c r="Q36" s="43"/>
      <c r="R36" s="43"/>
    </row>
    <row r="37" ht="13.5" customHeight="1">
      <c r="A37" s="43"/>
      <c r="B37" s="65"/>
      <c r="C37" s="69"/>
      <c r="D37" s="66"/>
      <c r="E37" s="67"/>
      <c r="F37" s="67"/>
      <c r="G37" s="53"/>
      <c r="H37" s="53"/>
      <c r="I37" s="112"/>
      <c r="J37" s="69">
        <f t="shared" ref="J37:K37" si="14">E33+E35+J33+J35</f>
        <v>37000</v>
      </c>
      <c r="K37" s="69">
        <f t="shared" si="14"/>
        <v>20500</v>
      </c>
      <c r="L37" s="69">
        <f>SUM(G33+G35+L33+L35+Q33+Q35)</f>
        <v>16500</v>
      </c>
      <c r="M37" s="43"/>
      <c r="N37" s="43"/>
      <c r="O37" s="43"/>
      <c r="P37" s="43"/>
      <c r="Q37" s="43"/>
      <c r="R37" s="43"/>
    </row>
    <row r="38" ht="16.5" customHeight="1">
      <c r="A38" s="46">
        <v>8.0</v>
      </c>
      <c r="B38" s="70" t="str">
        <f>'【大井町】売上'!C11</f>
        <v>日</v>
      </c>
      <c r="C38" s="105" t="s">
        <v>26</v>
      </c>
      <c r="D38" s="49" t="str">
        <f>'管理シフト'!P27</f>
        <v/>
      </c>
      <c r="E38" s="50">
        <v>15000.0</v>
      </c>
      <c r="F38" s="51">
        <v>9000.0</v>
      </c>
      <c r="G38" s="52">
        <f>E38-F38</f>
        <v>6000</v>
      </c>
      <c r="H38" s="53"/>
      <c r="I38" s="49" t="str">
        <f>'管理シフト'!S27</f>
        <v>てるみ</v>
      </c>
      <c r="J38" s="50">
        <v>34000.0</v>
      </c>
      <c r="K38" s="51">
        <v>19000.0</v>
      </c>
      <c r="L38" s="52">
        <f>J38-K38</f>
        <v>15000</v>
      </c>
      <c r="M38" s="43"/>
      <c r="N38" s="43"/>
      <c r="O38" s="43"/>
      <c r="P38" s="43"/>
      <c r="Q38" s="43"/>
      <c r="R38" s="43"/>
      <c r="Z38" s="98" t="s">
        <v>33</v>
      </c>
    </row>
    <row r="39" ht="13.5" customHeight="1">
      <c r="A39" s="55"/>
      <c r="B39" s="56"/>
      <c r="C39" s="109"/>
      <c r="D39" s="110" t="s">
        <v>27</v>
      </c>
      <c r="E39" s="59">
        <v>0.0</v>
      </c>
      <c r="F39" s="59">
        <v>1.0</v>
      </c>
      <c r="G39" s="60">
        <v>0.0</v>
      </c>
      <c r="H39" s="53"/>
      <c r="I39" s="110" t="s">
        <v>27</v>
      </c>
      <c r="J39" s="59">
        <v>0.0</v>
      </c>
      <c r="K39" s="59">
        <v>2.0</v>
      </c>
      <c r="L39" s="60">
        <v>0.0</v>
      </c>
      <c r="M39" s="43"/>
      <c r="N39" s="43"/>
      <c r="O39" s="43"/>
      <c r="P39" s="43"/>
      <c r="Q39" s="43"/>
      <c r="R39" s="43"/>
    </row>
    <row r="40" ht="16.5" customHeight="1">
      <c r="A40" s="55"/>
      <c r="B40" s="56"/>
      <c r="C40" s="105" t="s">
        <v>28</v>
      </c>
      <c r="D40" s="62" t="str">
        <f>'管理シフト'!P28</f>
        <v/>
      </c>
      <c r="E40" s="50"/>
      <c r="F40" s="51"/>
      <c r="G40" s="52">
        <f>E40-F40</f>
        <v>0</v>
      </c>
      <c r="H40" s="53"/>
      <c r="I40" s="62" t="str">
        <f>'管理シフト'!S28</f>
        <v/>
      </c>
      <c r="J40" s="50"/>
      <c r="K40" s="51"/>
      <c r="L40" s="52">
        <f>J40-K40</f>
        <v>0</v>
      </c>
      <c r="M40" s="43"/>
      <c r="N40" s="54" t="s">
        <v>13</v>
      </c>
      <c r="O40" s="54" t="s">
        <v>14</v>
      </c>
      <c r="P40" s="54" t="s">
        <v>15</v>
      </c>
      <c r="Q40" s="43"/>
      <c r="R40" s="43"/>
    </row>
    <row r="41" ht="13.5" customHeight="1">
      <c r="A41" s="63"/>
      <c r="B41" s="64"/>
      <c r="C41" s="109"/>
      <c r="D41" s="110" t="s">
        <v>27</v>
      </c>
      <c r="E41" s="59"/>
      <c r="F41" s="59"/>
      <c r="G41" s="60"/>
      <c r="H41" s="53"/>
      <c r="I41" s="110" t="s">
        <v>27</v>
      </c>
      <c r="J41" s="59"/>
      <c r="K41" s="59"/>
      <c r="L41" s="60"/>
      <c r="M41" s="43"/>
      <c r="N41" s="43">
        <f t="shared" ref="N41:P41" si="15">E39+E41+J39+J41</f>
        <v>0</v>
      </c>
      <c r="O41" s="43">
        <f t="shared" si="15"/>
        <v>3</v>
      </c>
      <c r="P41" s="43">
        <f t="shared" si="15"/>
        <v>0</v>
      </c>
      <c r="Q41" s="43"/>
      <c r="R41" s="43"/>
    </row>
    <row r="42" ht="13.5" customHeight="1">
      <c r="A42" s="43"/>
      <c r="B42" s="65"/>
      <c r="C42" s="69"/>
      <c r="D42" s="66"/>
      <c r="E42" s="67"/>
      <c r="F42" s="67"/>
      <c r="G42" s="53"/>
      <c r="H42" s="53"/>
      <c r="I42" s="112"/>
      <c r="J42" s="69">
        <f t="shared" ref="J42:K42" si="16">E38+E40+J38+J40</f>
        <v>49000</v>
      </c>
      <c r="K42" s="69">
        <f t="shared" si="16"/>
        <v>28000</v>
      </c>
      <c r="L42" s="69">
        <f>SUM(G38+G40+L38+L40+Q38+Q40)</f>
        <v>21000</v>
      </c>
      <c r="M42" s="43"/>
      <c r="N42" s="43"/>
      <c r="O42" s="43"/>
      <c r="P42" s="43"/>
      <c r="Q42" s="43"/>
      <c r="R42" s="43"/>
    </row>
    <row r="43" ht="16.5" customHeight="1">
      <c r="A43" s="46">
        <v>9.0</v>
      </c>
      <c r="B43" s="70" t="str">
        <f>'【大井町】売上'!C12</f>
        <v>月</v>
      </c>
      <c r="C43" s="105" t="s">
        <v>26</v>
      </c>
      <c r="D43" s="49" t="str">
        <f>'管理シフト'!P30</f>
        <v/>
      </c>
      <c r="E43" s="50">
        <v>0.0</v>
      </c>
      <c r="F43" s="51">
        <v>0.0</v>
      </c>
      <c r="G43" s="52">
        <f>E43-F43</f>
        <v>0</v>
      </c>
      <c r="H43" s="53"/>
      <c r="I43" s="49" t="str">
        <f>'管理シフト'!S30</f>
        <v/>
      </c>
      <c r="J43" s="50"/>
      <c r="K43" s="51"/>
      <c r="L43" s="52">
        <f>J43-K43</f>
        <v>0</v>
      </c>
      <c r="M43" s="43"/>
      <c r="N43" s="43"/>
      <c r="O43" s="43"/>
      <c r="P43" s="43"/>
      <c r="Q43" s="43"/>
      <c r="R43" s="43"/>
    </row>
    <row r="44" ht="13.5" customHeight="1">
      <c r="A44" s="55"/>
      <c r="B44" s="56"/>
      <c r="C44" s="109"/>
      <c r="D44" s="110" t="s">
        <v>27</v>
      </c>
      <c r="E44" s="59"/>
      <c r="F44" s="59"/>
      <c r="G44" s="60"/>
      <c r="H44" s="53"/>
      <c r="I44" s="110" t="s">
        <v>27</v>
      </c>
      <c r="J44" s="59"/>
      <c r="K44" s="59"/>
      <c r="L44" s="60"/>
      <c r="M44" s="43"/>
      <c r="N44" s="43"/>
      <c r="O44" s="43"/>
      <c r="P44" s="43"/>
      <c r="Q44" s="43"/>
      <c r="R44" s="43"/>
    </row>
    <row r="45" ht="16.5" customHeight="1">
      <c r="A45" s="55"/>
      <c r="B45" s="56"/>
      <c r="C45" s="105" t="s">
        <v>28</v>
      </c>
      <c r="D45" s="62" t="str">
        <f>'管理シフト'!P31</f>
        <v/>
      </c>
      <c r="E45" s="50">
        <v>32000.0</v>
      </c>
      <c r="F45" s="51">
        <v>17500.0</v>
      </c>
      <c r="G45" s="52">
        <f>E45-F45</f>
        <v>14500</v>
      </c>
      <c r="H45" s="53"/>
      <c r="I45" s="62" t="str">
        <f>'管理シフト'!S31</f>
        <v/>
      </c>
      <c r="J45" s="50">
        <v>0.0</v>
      </c>
      <c r="K45" s="51">
        <v>0.0</v>
      </c>
      <c r="L45" s="52">
        <f>J45-K45</f>
        <v>0</v>
      </c>
      <c r="M45" s="43"/>
      <c r="N45" s="54" t="s">
        <v>13</v>
      </c>
      <c r="O45" s="54" t="s">
        <v>14</v>
      </c>
      <c r="P45" s="54" t="s">
        <v>15</v>
      </c>
      <c r="Q45" s="43"/>
      <c r="R45" s="43"/>
    </row>
    <row r="46" ht="13.5" customHeight="1">
      <c r="A46" s="63"/>
      <c r="B46" s="64"/>
      <c r="C46" s="109"/>
      <c r="D46" s="110" t="s">
        <v>27</v>
      </c>
      <c r="E46" s="59">
        <v>1.0</v>
      </c>
      <c r="F46" s="59">
        <v>0.0</v>
      </c>
      <c r="G46" s="60">
        <v>1.0</v>
      </c>
      <c r="H46" s="53"/>
      <c r="I46" s="110" t="s">
        <v>27</v>
      </c>
      <c r="J46" s="59"/>
      <c r="K46" s="59"/>
      <c r="L46" s="60"/>
      <c r="M46" s="43"/>
      <c r="N46" s="43">
        <f t="shared" ref="N46:P46" si="17">E44+E46+J44+J46</f>
        <v>1</v>
      </c>
      <c r="O46" s="43">
        <f t="shared" si="17"/>
        <v>0</v>
      </c>
      <c r="P46" s="43">
        <f t="shared" si="17"/>
        <v>1</v>
      </c>
      <c r="Q46" s="43"/>
      <c r="R46" s="43"/>
    </row>
    <row r="47" ht="13.5" customHeight="1">
      <c r="A47" s="43"/>
      <c r="B47" s="65"/>
      <c r="C47" s="69"/>
      <c r="D47" s="66"/>
      <c r="E47" s="67"/>
      <c r="F47" s="67"/>
      <c r="G47" s="53"/>
      <c r="H47" s="53"/>
      <c r="I47" s="112"/>
      <c r="J47" s="69">
        <f t="shared" ref="J47:K47" si="18">E43+E45+J43+J45</f>
        <v>32000</v>
      </c>
      <c r="K47" s="69">
        <f t="shared" si="18"/>
        <v>17500</v>
      </c>
      <c r="L47" s="69">
        <f>SUM(G43+G45+L43+L45+Q43+Q45)</f>
        <v>14500</v>
      </c>
      <c r="M47" s="43"/>
      <c r="N47" s="43"/>
      <c r="O47" s="43"/>
      <c r="P47" s="43"/>
      <c r="Q47" s="43"/>
      <c r="R47" s="43"/>
    </row>
    <row r="48" ht="16.5" customHeight="1">
      <c r="A48" s="46">
        <v>10.0</v>
      </c>
      <c r="B48" s="70" t="str">
        <f>'【大井町】売上'!C13</f>
        <v>火</v>
      </c>
      <c r="C48" s="105" t="s">
        <v>26</v>
      </c>
      <c r="D48" s="49" t="str">
        <f>'管理シフト'!P33</f>
        <v>まな</v>
      </c>
      <c r="E48" s="50">
        <v>44000.0</v>
      </c>
      <c r="F48" s="51">
        <v>25000.0</v>
      </c>
      <c r="G48" s="52">
        <f>E48-F48</f>
        <v>19000</v>
      </c>
      <c r="H48" s="53"/>
      <c r="I48" s="49" t="str">
        <f>'管理シフト'!S33</f>
        <v/>
      </c>
      <c r="J48" s="50"/>
      <c r="K48" s="51"/>
      <c r="L48" s="52">
        <f>J48-K48</f>
        <v>0</v>
      </c>
      <c r="M48" s="43"/>
      <c r="N48" s="43"/>
      <c r="O48" s="43"/>
      <c r="P48" s="43"/>
      <c r="Q48" s="43"/>
      <c r="R48" s="43"/>
    </row>
    <row r="49" ht="13.5" customHeight="1">
      <c r="A49" s="55"/>
      <c r="B49" s="56"/>
      <c r="C49" s="109"/>
      <c r="D49" s="110" t="s">
        <v>27</v>
      </c>
      <c r="E49" s="59">
        <v>2.0</v>
      </c>
      <c r="F49" s="59">
        <v>1.0</v>
      </c>
      <c r="G49" s="60">
        <v>0.0</v>
      </c>
      <c r="H49" s="53"/>
      <c r="I49" s="110" t="s">
        <v>27</v>
      </c>
      <c r="J49" s="59"/>
      <c r="K49" s="59"/>
      <c r="L49" s="60"/>
      <c r="M49" s="43"/>
      <c r="N49" s="43"/>
      <c r="O49" s="43"/>
      <c r="P49" s="43"/>
      <c r="Q49" s="43"/>
      <c r="R49" s="43"/>
    </row>
    <row r="50" ht="16.5" customHeight="1">
      <c r="A50" s="55"/>
      <c r="B50" s="56"/>
      <c r="C50" s="105" t="s">
        <v>28</v>
      </c>
      <c r="D50" s="62" t="str">
        <f>'管理シフト'!P34</f>
        <v/>
      </c>
      <c r="E50" s="50">
        <v>0.0</v>
      </c>
      <c r="F50" s="51">
        <v>0.0</v>
      </c>
      <c r="G50" s="52">
        <f>E50-F50</f>
        <v>0</v>
      </c>
      <c r="H50" s="53"/>
      <c r="I50" s="62" t="str">
        <f>'管理シフト'!S34</f>
        <v>かずは</v>
      </c>
      <c r="J50" s="50">
        <v>16000.0</v>
      </c>
      <c r="K50" s="51">
        <v>10000.0</v>
      </c>
      <c r="L50" s="52">
        <f>J50-K50</f>
        <v>6000</v>
      </c>
      <c r="M50" s="43"/>
      <c r="N50" s="54" t="s">
        <v>13</v>
      </c>
      <c r="O50" s="54" t="s">
        <v>14</v>
      </c>
      <c r="P50" s="54" t="s">
        <v>15</v>
      </c>
      <c r="Q50" s="43"/>
      <c r="R50" s="43"/>
    </row>
    <row r="51" ht="13.5" customHeight="1">
      <c r="A51" s="63"/>
      <c r="B51" s="64"/>
      <c r="C51" s="109"/>
      <c r="D51" s="110" t="s">
        <v>27</v>
      </c>
      <c r="E51" s="59"/>
      <c r="F51" s="59"/>
      <c r="G51" s="60"/>
      <c r="H51" s="53"/>
      <c r="I51" s="110" t="s">
        <v>27</v>
      </c>
      <c r="J51" s="59">
        <v>0.0</v>
      </c>
      <c r="K51" s="59">
        <v>0.0</v>
      </c>
      <c r="L51" s="60">
        <v>1.0</v>
      </c>
      <c r="M51" s="43"/>
      <c r="N51" s="43">
        <f t="shared" ref="N51:P51" si="19">E49+E51+J49+J51</f>
        <v>2</v>
      </c>
      <c r="O51" s="43">
        <f t="shared" si="19"/>
        <v>1</v>
      </c>
      <c r="P51" s="43">
        <f t="shared" si="19"/>
        <v>1</v>
      </c>
      <c r="Q51" s="43"/>
      <c r="R51" s="43"/>
    </row>
    <row r="52" ht="13.5" customHeight="1">
      <c r="A52" s="43"/>
      <c r="B52" s="65"/>
      <c r="C52" s="69"/>
      <c r="D52" s="66"/>
      <c r="E52" s="67"/>
      <c r="F52" s="67"/>
      <c r="G52" s="53"/>
      <c r="H52" s="53"/>
      <c r="I52" s="112"/>
      <c r="J52" s="69">
        <f t="shared" ref="J52:K52" si="20">E48+E50+J48+J50</f>
        <v>60000</v>
      </c>
      <c r="K52" s="69">
        <f t="shared" si="20"/>
        <v>35000</v>
      </c>
      <c r="L52" s="69">
        <f>SUM(G48+G50+L48+L50+Q48+Q50)</f>
        <v>25000</v>
      </c>
      <c r="M52" s="43"/>
      <c r="N52" s="43"/>
      <c r="O52" s="43"/>
      <c r="P52" s="43"/>
      <c r="Q52" s="43"/>
      <c r="R52" s="43"/>
    </row>
    <row r="53" ht="16.5" customHeight="1">
      <c r="A53" s="46">
        <v>11.0</v>
      </c>
      <c r="B53" s="70" t="str">
        <f>'【大井町】売上'!C14</f>
        <v>水</v>
      </c>
      <c r="C53" s="105" t="s">
        <v>26</v>
      </c>
      <c r="D53" s="49" t="str">
        <f>'管理シフト'!P36</f>
        <v/>
      </c>
      <c r="E53" s="50">
        <v>0.0</v>
      </c>
      <c r="F53" s="51">
        <v>0.0</v>
      </c>
      <c r="G53" s="52">
        <f>E53-F53</f>
        <v>0</v>
      </c>
      <c r="H53" s="53"/>
      <c r="I53" s="49" t="str">
        <f>'管理シフト'!S36</f>
        <v/>
      </c>
      <c r="J53" s="50"/>
      <c r="K53" s="51"/>
      <c r="L53" s="52">
        <f>J53-K53</f>
        <v>0</v>
      </c>
      <c r="M53" s="43"/>
      <c r="N53" s="43"/>
      <c r="O53" s="43"/>
      <c r="P53" s="43"/>
      <c r="Q53" s="43"/>
      <c r="R53" s="43"/>
    </row>
    <row r="54" ht="13.5" customHeight="1">
      <c r="A54" s="55"/>
      <c r="B54" s="56"/>
      <c r="C54" s="109"/>
      <c r="D54" s="110" t="s">
        <v>27</v>
      </c>
      <c r="E54" s="59"/>
      <c r="F54" s="59"/>
      <c r="G54" s="60"/>
      <c r="H54" s="53"/>
      <c r="I54" s="110" t="s">
        <v>27</v>
      </c>
      <c r="J54" s="59"/>
      <c r="K54" s="59"/>
      <c r="L54" s="60"/>
      <c r="M54" s="43"/>
      <c r="N54" s="43"/>
      <c r="O54" s="43"/>
      <c r="P54" s="43"/>
      <c r="Q54" s="43"/>
      <c r="R54" s="43"/>
    </row>
    <row r="55" ht="16.5" customHeight="1">
      <c r="A55" s="55"/>
      <c r="B55" s="56"/>
      <c r="C55" s="105" t="s">
        <v>28</v>
      </c>
      <c r="D55" s="62" t="str">
        <f>'管理シフト'!P37</f>
        <v/>
      </c>
      <c r="E55" s="50"/>
      <c r="F55" s="51"/>
      <c r="G55" s="52">
        <f>E55-F55</f>
        <v>0</v>
      </c>
      <c r="H55" s="53"/>
      <c r="I55" s="62" t="str">
        <f>'管理シフト'!S37</f>
        <v/>
      </c>
      <c r="J55" s="50">
        <v>35000.0</v>
      </c>
      <c r="K55" s="51">
        <v>21000.0</v>
      </c>
      <c r="L55" s="52">
        <f>J55-K55</f>
        <v>14000</v>
      </c>
      <c r="M55" s="43"/>
      <c r="N55" s="54" t="s">
        <v>13</v>
      </c>
      <c r="O55" s="54" t="s">
        <v>14</v>
      </c>
      <c r="P55" s="54" t="s">
        <v>15</v>
      </c>
      <c r="Q55" s="43"/>
      <c r="R55" s="43"/>
    </row>
    <row r="56" ht="13.5" customHeight="1">
      <c r="A56" s="63"/>
      <c r="B56" s="64"/>
      <c r="C56" s="109"/>
      <c r="D56" s="110" t="s">
        <v>27</v>
      </c>
      <c r="E56" s="59"/>
      <c r="F56" s="59"/>
      <c r="G56" s="60"/>
      <c r="H56" s="53"/>
      <c r="I56" s="110" t="s">
        <v>27</v>
      </c>
      <c r="J56" s="59">
        <v>0.0</v>
      </c>
      <c r="K56" s="59">
        <v>2.0</v>
      </c>
      <c r="L56" s="60">
        <v>0.0</v>
      </c>
      <c r="M56" s="43"/>
      <c r="N56" s="43">
        <f t="shared" ref="N56:P56" si="21">E54+E56+J54+J56</f>
        <v>0</v>
      </c>
      <c r="O56" s="43">
        <f t="shared" si="21"/>
        <v>2</v>
      </c>
      <c r="P56" s="43">
        <f t="shared" si="21"/>
        <v>0</v>
      </c>
      <c r="Q56" s="43"/>
      <c r="R56" s="43"/>
    </row>
    <row r="57" ht="13.5" customHeight="1">
      <c r="A57" s="43"/>
      <c r="B57" s="65"/>
      <c r="C57" s="69"/>
      <c r="D57" s="66"/>
      <c r="E57" s="67"/>
      <c r="F57" s="67"/>
      <c r="G57" s="53"/>
      <c r="H57" s="53"/>
      <c r="I57" s="112"/>
      <c r="J57" s="69">
        <f t="shared" ref="J57:K57" si="22">E53+E55+J53+J55</f>
        <v>35000</v>
      </c>
      <c r="K57" s="69">
        <f t="shared" si="22"/>
        <v>21000</v>
      </c>
      <c r="L57" s="69">
        <f>SUM(G53+G55+L53+L55+Q53+Q55)</f>
        <v>14000</v>
      </c>
      <c r="M57" s="43"/>
      <c r="N57" s="43"/>
      <c r="O57" s="43"/>
      <c r="P57" s="43"/>
      <c r="Q57" s="43"/>
      <c r="R57" s="43"/>
    </row>
    <row r="58" ht="16.5" customHeight="1">
      <c r="A58" s="46">
        <v>12.0</v>
      </c>
      <c r="B58" s="70" t="str">
        <f>'【大井町】売上'!C15</f>
        <v>木</v>
      </c>
      <c r="C58" s="105" t="s">
        <v>26</v>
      </c>
      <c r="D58" s="49" t="str">
        <f>'管理シフト'!P39</f>
        <v/>
      </c>
      <c r="E58" s="50"/>
      <c r="F58" s="51"/>
      <c r="G58" s="52">
        <f>E58-F58</f>
        <v>0</v>
      </c>
      <c r="H58" s="53"/>
      <c r="I58" s="49" t="str">
        <f>'管理シフト'!S39</f>
        <v/>
      </c>
      <c r="J58" s="50"/>
      <c r="K58" s="51"/>
      <c r="L58" s="52">
        <f>J58-K58</f>
        <v>0</v>
      </c>
      <c r="M58" s="43"/>
      <c r="N58" s="43"/>
      <c r="O58" s="43"/>
      <c r="P58" s="43"/>
      <c r="Q58" s="43"/>
      <c r="R58" s="43"/>
    </row>
    <row r="59" ht="13.5" customHeight="1">
      <c r="A59" s="55"/>
      <c r="B59" s="56"/>
      <c r="C59" s="109"/>
      <c r="D59" s="110" t="s">
        <v>27</v>
      </c>
      <c r="E59" s="59"/>
      <c r="F59" s="59"/>
      <c r="G59" s="60"/>
      <c r="H59" s="53"/>
      <c r="I59" s="110" t="s">
        <v>27</v>
      </c>
      <c r="J59" s="59"/>
      <c r="K59" s="59"/>
      <c r="L59" s="60"/>
      <c r="M59" s="43"/>
      <c r="N59" s="43"/>
      <c r="O59" s="43"/>
      <c r="P59" s="43"/>
      <c r="Q59" s="43"/>
      <c r="R59" s="43"/>
    </row>
    <row r="60" ht="16.5" customHeight="1">
      <c r="A60" s="55"/>
      <c r="B60" s="56"/>
      <c r="C60" s="105" t="s">
        <v>28</v>
      </c>
      <c r="D60" s="62" t="str">
        <f>'管理シフト'!P40</f>
        <v/>
      </c>
      <c r="E60" s="50">
        <v>25000.0</v>
      </c>
      <c r="F60" s="51">
        <v>15000.0</v>
      </c>
      <c r="G60" s="52">
        <f>E60-F60</f>
        <v>10000</v>
      </c>
      <c r="H60" s="53"/>
      <c r="I60" s="62" t="str">
        <f>'管理シフト'!S40</f>
        <v/>
      </c>
      <c r="J60" s="50"/>
      <c r="K60" s="51"/>
      <c r="L60" s="52">
        <f>J60-K60</f>
        <v>0</v>
      </c>
      <c r="M60" s="43"/>
      <c r="N60" s="54" t="s">
        <v>13</v>
      </c>
      <c r="O60" s="54" t="s">
        <v>14</v>
      </c>
      <c r="P60" s="54" t="s">
        <v>15</v>
      </c>
      <c r="Q60" s="43"/>
      <c r="R60" s="43"/>
    </row>
    <row r="61" ht="13.5" customHeight="1">
      <c r="A61" s="63"/>
      <c r="B61" s="64"/>
      <c r="C61" s="109"/>
      <c r="D61" s="110" t="s">
        <v>27</v>
      </c>
      <c r="E61" s="59">
        <v>1.0</v>
      </c>
      <c r="F61" s="59">
        <v>1.0</v>
      </c>
      <c r="G61" s="60">
        <v>0.0</v>
      </c>
      <c r="H61" s="53"/>
      <c r="I61" s="110" t="s">
        <v>27</v>
      </c>
      <c r="J61" s="59"/>
      <c r="K61" s="59"/>
      <c r="L61" s="60"/>
      <c r="M61" s="43"/>
      <c r="N61" s="43">
        <f t="shared" ref="N61:P61" si="23">E59+E61+J59+J61</f>
        <v>1</v>
      </c>
      <c r="O61" s="43">
        <f t="shared" si="23"/>
        <v>1</v>
      </c>
      <c r="P61" s="43">
        <f t="shared" si="23"/>
        <v>0</v>
      </c>
      <c r="Q61" s="43"/>
      <c r="R61" s="43"/>
    </row>
    <row r="62" ht="13.5" customHeight="1">
      <c r="A62" s="43"/>
      <c r="B62" s="65"/>
      <c r="C62" s="69"/>
      <c r="D62" s="66"/>
      <c r="E62" s="67"/>
      <c r="F62" s="67"/>
      <c r="G62" s="53"/>
      <c r="H62" s="53"/>
      <c r="I62" s="112"/>
      <c r="J62" s="69">
        <f t="shared" ref="J62:K62" si="24">E58+E60+J58+J60</f>
        <v>25000</v>
      </c>
      <c r="K62" s="69">
        <f t="shared" si="24"/>
        <v>15000</v>
      </c>
      <c r="L62" s="69">
        <f>SUM(G58+G60+L58+L60+Q58+Q60)</f>
        <v>10000</v>
      </c>
      <c r="M62" s="43"/>
      <c r="N62" s="43"/>
      <c r="O62" s="43"/>
      <c r="P62" s="43"/>
      <c r="Q62" s="43"/>
      <c r="R62" s="43"/>
    </row>
    <row r="63" ht="16.5" customHeight="1">
      <c r="A63" s="46">
        <v>13.0</v>
      </c>
      <c r="B63" s="70" t="str">
        <f>'【大井町】売上'!C16</f>
        <v>金</v>
      </c>
      <c r="C63" s="118" t="s">
        <v>26</v>
      </c>
      <c r="D63" s="76" t="str">
        <f>'管理シフト'!P42</f>
        <v/>
      </c>
      <c r="E63" s="80"/>
      <c r="F63" s="81"/>
      <c r="G63" s="78">
        <f>E63-F63</f>
        <v>0</v>
      </c>
      <c r="H63" s="79"/>
      <c r="I63" s="76" t="str">
        <f>'管理シフト'!S42</f>
        <v/>
      </c>
      <c r="J63" s="80"/>
      <c r="K63" s="81"/>
      <c r="L63" s="78">
        <f>J63-K63</f>
        <v>0</v>
      </c>
      <c r="M63" s="43"/>
      <c r="N63" s="43"/>
      <c r="O63" s="43"/>
      <c r="P63" s="43"/>
      <c r="Q63" s="43"/>
      <c r="R63" s="43"/>
    </row>
    <row r="64" ht="13.5" customHeight="1">
      <c r="A64" s="55"/>
      <c r="B64" s="56"/>
      <c r="C64" s="109"/>
      <c r="D64" s="122" t="s">
        <v>27</v>
      </c>
      <c r="E64" s="77"/>
      <c r="F64" s="77"/>
      <c r="G64" s="84"/>
      <c r="H64" s="79"/>
      <c r="I64" s="122" t="s">
        <v>27</v>
      </c>
      <c r="J64" s="77"/>
      <c r="K64" s="77"/>
      <c r="L64" s="84"/>
      <c r="M64" s="43"/>
      <c r="N64" s="43"/>
      <c r="O64" s="43"/>
      <c r="P64" s="43"/>
      <c r="Q64" s="43"/>
      <c r="R64" s="43"/>
    </row>
    <row r="65" ht="16.5" customHeight="1">
      <c r="A65" s="55"/>
      <c r="B65" s="56"/>
      <c r="C65" s="118" t="s">
        <v>28</v>
      </c>
      <c r="D65" s="85" t="str">
        <f>'管理シフト'!P43</f>
        <v/>
      </c>
      <c r="E65" s="80"/>
      <c r="F65" s="81"/>
      <c r="G65" s="78">
        <f>E65-F65</f>
        <v>0</v>
      </c>
      <c r="H65" s="79"/>
      <c r="I65" s="85" t="str">
        <f>'管理シフト'!S43</f>
        <v/>
      </c>
      <c r="J65" s="80">
        <v>30000.0</v>
      </c>
      <c r="K65" s="81">
        <v>17000.0</v>
      </c>
      <c r="L65" s="78">
        <f>J65-K65</f>
        <v>13000</v>
      </c>
      <c r="M65" s="43"/>
      <c r="N65" s="54" t="s">
        <v>13</v>
      </c>
      <c r="O65" s="54" t="s">
        <v>14</v>
      </c>
      <c r="P65" s="54" t="s">
        <v>15</v>
      </c>
      <c r="Q65" s="43"/>
      <c r="R65" s="43"/>
    </row>
    <row r="66" ht="13.5" customHeight="1">
      <c r="A66" s="63"/>
      <c r="B66" s="64"/>
      <c r="C66" s="109"/>
      <c r="D66" s="122" t="s">
        <v>27</v>
      </c>
      <c r="E66" s="77"/>
      <c r="F66" s="77"/>
      <c r="G66" s="84"/>
      <c r="H66" s="79"/>
      <c r="I66" s="122" t="s">
        <v>27</v>
      </c>
      <c r="J66" s="77">
        <v>1.0</v>
      </c>
      <c r="K66" s="77">
        <v>1.0</v>
      </c>
      <c r="L66" s="84">
        <v>0.0</v>
      </c>
      <c r="M66" s="43"/>
      <c r="N66" s="43">
        <f t="shared" ref="N66:P66" si="25">E64+E66+J64+J66</f>
        <v>1</v>
      </c>
      <c r="O66" s="43">
        <f t="shared" si="25"/>
        <v>1</v>
      </c>
      <c r="P66" s="43">
        <f t="shared" si="25"/>
        <v>0</v>
      </c>
      <c r="Q66" s="43"/>
      <c r="R66" s="43"/>
    </row>
    <row r="67" ht="13.5" customHeight="1">
      <c r="A67" s="43"/>
      <c r="B67" s="65"/>
      <c r="C67" s="87"/>
      <c r="D67" s="130"/>
      <c r="E67" s="88"/>
      <c r="F67" s="88"/>
      <c r="G67" s="79"/>
      <c r="H67" s="79"/>
      <c r="I67" s="131"/>
      <c r="J67" s="87">
        <f t="shared" ref="J67:K67" si="26">E63+E65+J63+J65</f>
        <v>30000</v>
      </c>
      <c r="K67" s="87">
        <f t="shared" si="26"/>
        <v>17000</v>
      </c>
      <c r="L67" s="87">
        <f>SUM(G63+G65+L63+L65+Q63+Q65)</f>
        <v>13000</v>
      </c>
      <c r="M67" s="43"/>
      <c r="N67" s="43"/>
      <c r="O67" s="43"/>
      <c r="P67" s="43"/>
      <c r="Q67" s="43"/>
      <c r="R67" s="43"/>
    </row>
    <row r="68" ht="16.5" customHeight="1">
      <c r="A68" s="46">
        <v>14.0</v>
      </c>
      <c r="B68" s="70" t="str">
        <f>'【大井町】売上'!C17</f>
        <v>土</v>
      </c>
      <c r="C68" s="118" t="s">
        <v>26</v>
      </c>
      <c r="D68" s="76" t="str">
        <f>'管理シフト'!P45</f>
        <v/>
      </c>
      <c r="E68" s="80"/>
      <c r="F68" s="81"/>
      <c r="G68" s="78">
        <f>E68-F68</f>
        <v>0</v>
      </c>
      <c r="H68" s="79"/>
      <c r="I68" s="76" t="str">
        <f>'管理シフト'!S45</f>
        <v/>
      </c>
      <c r="J68" s="80"/>
      <c r="K68" s="81"/>
      <c r="L68" s="78">
        <f>J68-K68</f>
        <v>0</v>
      </c>
      <c r="M68" s="43"/>
      <c r="N68" s="43"/>
      <c r="O68" s="43"/>
      <c r="P68" s="43"/>
      <c r="Q68" s="43"/>
      <c r="R68" s="43"/>
    </row>
    <row r="69" ht="13.5" customHeight="1">
      <c r="A69" s="55"/>
      <c r="B69" s="56"/>
      <c r="C69" s="109"/>
      <c r="D69" s="122" t="s">
        <v>27</v>
      </c>
      <c r="E69" s="77"/>
      <c r="F69" s="77"/>
      <c r="G69" s="84"/>
      <c r="H69" s="79"/>
      <c r="I69" s="122" t="s">
        <v>27</v>
      </c>
      <c r="J69" s="77"/>
      <c r="K69" s="77"/>
      <c r="L69" s="84"/>
      <c r="M69" s="43"/>
      <c r="N69" s="43"/>
      <c r="O69" s="43"/>
      <c r="P69" s="43"/>
      <c r="Q69" s="43"/>
      <c r="R69" s="43"/>
    </row>
    <row r="70" ht="16.5" customHeight="1">
      <c r="A70" s="55"/>
      <c r="B70" s="56"/>
      <c r="C70" s="118" t="s">
        <v>28</v>
      </c>
      <c r="D70" s="85" t="str">
        <f>'管理シフト'!P46</f>
        <v/>
      </c>
      <c r="E70" s="80">
        <v>12000.0</v>
      </c>
      <c r="F70" s="81">
        <v>7000.0</v>
      </c>
      <c r="G70" s="78">
        <f>E70-F70</f>
        <v>5000</v>
      </c>
      <c r="H70" s="79"/>
      <c r="I70" s="85" t="str">
        <f>'管理シフト'!S46</f>
        <v/>
      </c>
      <c r="J70" s="80"/>
      <c r="K70" s="81"/>
      <c r="L70" s="78">
        <f>J70-K70</f>
        <v>0</v>
      </c>
      <c r="M70" s="43"/>
      <c r="N70" s="54" t="s">
        <v>13</v>
      </c>
      <c r="O70" s="54" t="s">
        <v>14</v>
      </c>
      <c r="P70" s="54" t="s">
        <v>15</v>
      </c>
      <c r="Q70" s="43"/>
      <c r="R70" s="43"/>
    </row>
    <row r="71" ht="13.5" customHeight="1">
      <c r="A71" s="63"/>
      <c r="B71" s="64"/>
      <c r="C71" s="109"/>
      <c r="D71" s="122" t="s">
        <v>27</v>
      </c>
      <c r="E71" s="77">
        <v>0.0</v>
      </c>
      <c r="F71" s="77">
        <v>1.0</v>
      </c>
      <c r="G71" s="84">
        <v>0.0</v>
      </c>
      <c r="H71" s="79"/>
      <c r="I71" s="122" t="s">
        <v>27</v>
      </c>
      <c r="J71" s="77"/>
      <c r="K71" s="77"/>
      <c r="L71" s="84"/>
      <c r="M71" s="43"/>
      <c r="N71" s="43">
        <f t="shared" ref="N71:P71" si="27">E69+E71+J69+J71</f>
        <v>0</v>
      </c>
      <c r="O71" s="43">
        <f t="shared" si="27"/>
        <v>1</v>
      </c>
      <c r="P71" s="43">
        <f t="shared" si="27"/>
        <v>0</v>
      </c>
      <c r="Q71" s="43"/>
      <c r="R71" s="43"/>
    </row>
    <row r="72" ht="13.5" customHeight="1">
      <c r="A72" s="43"/>
      <c r="B72" s="65"/>
      <c r="C72" s="87"/>
      <c r="D72" s="86"/>
      <c r="E72" s="88"/>
      <c r="F72" s="88"/>
      <c r="G72" s="79"/>
      <c r="H72" s="79"/>
      <c r="I72" s="86"/>
      <c r="J72" s="87">
        <f t="shared" ref="J72:K72" si="28">E68+E70+J68+J70</f>
        <v>12000</v>
      </c>
      <c r="K72" s="87">
        <f t="shared" si="28"/>
        <v>7000</v>
      </c>
      <c r="L72" s="87">
        <f>SUM(G68+G70+L68+L70+Q68+Q70)</f>
        <v>5000</v>
      </c>
      <c r="M72" s="43"/>
      <c r="N72" s="43"/>
      <c r="O72" s="43"/>
      <c r="P72" s="43"/>
      <c r="Q72" s="43"/>
      <c r="R72" s="43"/>
    </row>
    <row r="73" ht="16.5" customHeight="1">
      <c r="A73" s="46">
        <v>15.0</v>
      </c>
      <c r="B73" s="70" t="str">
        <f>'【大井町】売上'!C18</f>
        <v>日</v>
      </c>
      <c r="C73" s="118" t="s">
        <v>26</v>
      </c>
      <c r="D73" s="76" t="str">
        <f>'管理シフト'!P49</f>
        <v/>
      </c>
      <c r="E73" s="80">
        <v>0.0</v>
      </c>
      <c r="F73" s="81">
        <v>0.0</v>
      </c>
      <c r="G73" s="78">
        <f>E73-F73</f>
        <v>0</v>
      </c>
      <c r="H73" s="79"/>
      <c r="I73" s="76" t="str">
        <f>'管理シフト'!S49</f>
        <v/>
      </c>
      <c r="J73" s="80">
        <v>48000.0</v>
      </c>
      <c r="K73" s="81">
        <v>27000.0</v>
      </c>
      <c r="L73" s="78">
        <f>J73-K73</f>
        <v>21000</v>
      </c>
      <c r="M73" s="43"/>
      <c r="N73" s="43"/>
      <c r="O73" s="43"/>
      <c r="P73" s="43"/>
      <c r="Q73" s="43"/>
      <c r="R73" s="43"/>
    </row>
    <row r="74" ht="13.5" customHeight="1">
      <c r="A74" s="55"/>
      <c r="B74" s="56"/>
      <c r="C74" s="109"/>
      <c r="D74" s="122" t="s">
        <v>27</v>
      </c>
      <c r="E74" s="77"/>
      <c r="F74" s="77"/>
      <c r="G74" s="84"/>
      <c r="H74" s="79"/>
      <c r="I74" s="122" t="s">
        <v>27</v>
      </c>
      <c r="J74" s="77">
        <v>2.0</v>
      </c>
      <c r="K74" s="77">
        <v>1.0</v>
      </c>
      <c r="L74" s="84">
        <v>0.0</v>
      </c>
      <c r="M74" s="43"/>
      <c r="N74" s="43"/>
      <c r="O74" s="43"/>
      <c r="P74" s="43"/>
      <c r="Q74" s="43"/>
      <c r="R74" s="43"/>
    </row>
    <row r="75" ht="16.5" customHeight="1">
      <c r="A75" s="55"/>
      <c r="B75" s="56"/>
      <c r="C75" s="118" t="s">
        <v>28</v>
      </c>
      <c r="D75" s="85" t="str">
        <f>'管理シフト'!P50</f>
        <v/>
      </c>
      <c r="E75" s="80">
        <v>35000.0</v>
      </c>
      <c r="F75" s="81">
        <v>15500.0</v>
      </c>
      <c r="G75" s="78">
        <f>E75-F75</f>
        <v>19500</v>
      </c>
      <c r="H75" s="79"/>
      <c r="I75" s="85" t="str">
        <f>'管理シフト'!S50</f>
        <v/>
      </c>
      <c r="J75" s="80"/>
      <c r="K75" s="81"/>
      <c r="L75" s="78">
        <f>J75-K75</f>
        <v>0</v>
      </c>
      <c r="M75" s="43"/>
      <c r="N75" s="54" t="s">
        <v>13</v>
      </c>
      <c r="O75" s="54" t="s">
        <v>14</v>
      </c>
      <c r="P75" s="54" t="s">
        <v>15</v>
      </c>
      <c r="Q75" s="43"/>
      <c r="R75" s="43"/>
    </row>
    <row r="76" ht="13.5" customHeight="1">
      <c r="A76" s="63"/>
      <c r="B76" s="64"/>
      <c r="C76" s="109"/>
      <c r="D76" s="122" t="s">
        <v>27</v>
      </c>
      <c r="E76" s="77">
        <v>1.0</v>
      </c>
      <c r="F76" s="77">
        <v>1.0</v>
      </c>
      <c r="G76" s="84">
        <v>0.0</v>
      </c>
      <c r="H76" s="79"/>
      <c r="I76" s="122" t="s">
        <v>27</v>
      </c>
      <c r="J76" s="77"/>
      <c r="K76" s="77"/>
      <c r="L76" s="84"/>
      <c r="M76" s="43"/>
      <c r="N76" s="43">
        <f t="shared" ref="N76:P76" si="29">E74+E76+J74+J76</f>
        <v>3</v>
      </c>
      <c r="O76" s="43">
        <f t="shared" si="29"/>
        <v>2</v>
      </c>
      <c r="P76" s="43">
        <f t="shared" si="29"/>
        <v>0</v>
      </c>
      <c r="Q76" s="43"/>
      <c r="R76" s="43"/>
    </row>
    <row r="77" ht="13.5" customHeight="1">
      <c r="A77" s="43"/>
      <c r="B77" s="65"/>
      <c r="C77" s="87"/>
      <c r="D77" s="86"/>
      <c r="E77" s="88"/>
      <c r="F77" s="88"/>
      <c r="G77" s="79"/>
      <c r="H77" s="79"/>
      <c r="I77" s="124"/>
      <c r="J77" s="87">
        <f t="shared" ref="J77:K77" si="30">E73+E75+J73+J75</f>
        <v>83000</v>
      </c>
      <c r="K77" s="87">
        <f t="shared" si="30"/>
        <v>42500</v>
      </c>
      <c r="L77" s="87">
        <f>SUM(G73+G75+L73+L75+Q73+Q75)</f>
        <v>40500</v>
      </c>
      <c r="M77" s="43"/>
      <c r="N77" s="43"/>
      <c r="O77" s="43"/>
      <c r="P77" s="43"/>
      <c r="Q77" s="43"/>
      <c r="R77" s="43"/>
    </row>
    <row r="78" ht="16.5" customHeight="1">
      <c r="A78" s="46">
        <v>16.0</v>
      </c>
      <c r="B78" s="70" t="str">
        <f>'【大井町】売上'!C19</f>
        <v>月</v>
      </c>
      <c r="C78" s="118" t="s">
        <v>26</v>
      </c>
      <c r="D78" s="76" t="str">
        <f>'管理シフト'!P52</f>
        <v/>
      </c>
      <c r="E78" s="80"/>
      <c r="F78" s="81"/>
      <c r="G78" s="78">
        <f>E78-F78</f>
        <v>0</v>
      </c>
      <c r="H78" s="79"/>
      <c r="I78" s="76" t="str">
        <f>'管理シフト'!S52</f>
        <v/>
      </c>
      <c r="J78" s="80"/>
      <c r="K78" s="81"/>
      <c r="L78" s="78">
        <f>J78-K78</f>
        <v>0</v>
      </c>
      <c r="M78" s="43"/>
      <c r="N78" s="43"/>
      <c r="O78" s="43"/>
      <c r="P78" s="43"/>
      <c r="Q78" s="43"/>
      <c r="R78" s="43"/>
    </row>
    <row r="79" ht="13.5" customHeight="1">
      <c r="A79" s="55"/>
      <c r="B79" s="56"/>
      <c r="C79" s="109"/>
      <c r="D79" s="122" t="s">
        <v>27</v>
      </c>
      <c r="E79" s="77"/>
      <c r="F79" s="77"/>
      <c r="G79" s="84"/>
      <c r="H79" s="79"/>
      <c r="I79" s="122" t="s">
        <v>27</v>
      </c>
      <c r="J79" s="77"/>
      <c r="K79" s="77"/>
      <c r="L79" s="84"/>
      <c r="M79" s="43"/>
      <c r="N79" s="43"/>
      <c r="O79" s="43"/>
      <c r="P79" s="43"/>
      <c r="Q79" s="43"/>
      <c r="R79" s="43"/>
    </row>
    <row r="80" ht="16.5" customHeight="1">
      <c r="A80" s="55"/>
      <c r="B80" s="56"/>
      <c r="C80" s="118" t="s">
        <v>28</v>
      </c>
      <c r="D80" s="85" t="str">
        <f>'管理シフト'!P53</f>
        <v/>
      </c>
      <c r="E80" s="80">
        <v>73000.0</v>
      </c>
      <c r="F80" s="81">
        <v>42000.0</v>
      </c>
      <c r="G80" s="78">
        <f>E80-F80</f>
        <v>31000</v>
      </c>
      <c r="H80" s="79"/>
      <c r="I80" s="85" t="str">
        <f>'管理シフト'!S53</f>
        <v/>
      </c>
      <c r="J80" s="80"/>
      <c r="K80" s="81"/>
      <c r="L80" s="78">
        <f>J80-K80</f>
        <v>0</v>
      </c>
      <c r="M80" s="43"/>
      <c r="N80" s="54" t="s">
        <v>13</v>
      </c>
      <c r="O80" s="54" t="s">
        <v>14</v>
      </c>
      <c r="P80" s="54" t="s">
        <v>15</v>
      </c>
      <c r="Q80" s="43"/>
      <c r="R80" s="43"/>
    </row>
    <row r="81" ht="13.5" customHeight="1">
      <c r="A81" s="63"/>
      <c r="B81" s="64"/>
      <c r="C81" s="109"/>
      <c r="D81" s="122" t="s">
        <v>27</v>
      </c>
      <c r="E81" s="77">
        <v>2.0</v>
      </c>
      <c r="F81" s="77">
        <v>2.0</v>
      </c>
      <c r="G81" s="84">
        <v>0.0</v>
      </c>
      <c r="H81" s="79"/>
      <c r="I81" s="122" t="s">
        <v>27</v>
      </c>
      <c r="J81" s="77"/>
      <c r="K81" s="77"/>
      <c r="L81" s="84"/>
      <c r="M81" s="43"/>
      <c r="N81" s="43">
        <f t="shared" ref="N81:P81" si="31">E79+E81+J79+J81</f>
        <v>2</v>
      </c>
      <c r="O81" s="43">
        <f t="shared" si="31"/>
        <v>2</v>
      </c>
      <c r="P81" s="43">
        <f t="shared" si="31"/>
        <v>0</v>
      </c>
      <c r="Q81" s="43"/>
      <c r="R81" s="43"/>
    </row>
    <row r="82" ht="13.5" customHeight="1">
      <c r="A82" s="43"/>
      <c r="B82" s="65"/>
      <c r="C82" s="79"/>
      <c r="D82" s="86"/>
      <c r="E82" s="88"/>
      <c r="F82" s="88"/>
      <c r="G82" s="79"/>
      <c r="H82" s="79"/>
      <c r="I82" s="86"/>
      <c r="J82" s="87">
        <f t="shared" ref="J82:K82" si="32">E78+E80+J78+J80</f>
        <v>73000</v>
      </c>
      <c r="K82" s="87">
        <f t="shared" si="32"/>
        <v>42000</v>
      </c>
      <c r="L82" s="87">
        <f>SUM(G78+G80+L78+L80+Q78+Q80)</f>
        <v>31000</v>
      </c>
      <c r="M82" s="43"/>
      <c r="N82" s="43"/>
      <c r="O82" s="43"/>
      <c r="P82" s="43"/>
      <c r="Q82" s="43"/>
      <c r="R82" s="43"/>
    </row>
    <row r="83" ht="16.5" customHeight="1">
      <c r="A83" s="46">
        <v>17.0</v>
      </c>
      <c r="B83" s="75" t="str">
        <f>'【大井町】売上'!C20</f>
        <v>火</v>
      </c>
      <c r="C83" s="118" t="s">
        <v>26</v>
      </c>
      <c r="D83" s="76" t="str">
        <f>'管理シフト'!P55</f>
        <v/>
      </c>
      <c r="E83" s="80">
        <v>0.0</v>
      </c>
      <c r="F83" s="81">
        <v>0.0</v>
      </c>
      <c r="G83" s="78">
        <f>E83-F83</f>
        <v>0</v>
      </c>
      <c r="H83" s="79"/>
      <c r="I83" s="76" t="str">
        <f>'管理シフト'!S55</f>
        <v/>
      </c>
      <c r="J83" s="80">
        <v>28000.0</v>
      </c>
      <c r="K83" s="81">
        <v>17000.0</v>
      </c>
      <c r="L83" s="78">
        <f>J83-K83</f>
        <v>11000</v>
      </c>
      <c r="M83" s="43"/>
      <c r="N83" s="43"/>
      <c r="O83" s="43"/>
      <c r="P83" s="43"/>
      <c r="Q83" s="43"/>
      <c r="R83" s="43"/>
    </row>
    <row r="84" ht="13.5" customHeight="1">
      <c r="A84" s="55"/>
      <c r="B84" s="56"/>
      <c r="C84" s="109"/>
      <c r="D84" s="122" t="s">
        <v>27</v>
      </c>
      <c r="E84" s="77"/>
      <c r="F84" s="77"/>
      <c r="G84" s="84"/>
      <c r="H84" s="79"/>
      <c r="I84" s="122" t="s">
        <v>27</v>
      </c>
      <c r="J84" s="77">
        <v>1.0</v>
      </c>
      <c r="K84" s="77">
        <v>1.0</v>
      </c>
      <c r="L84" s="84">
        <v>0.0</v>
      </c>
      <c r="M84" s="43"/>
      <c r="N84" s="43"/>
      <c r="O84" s="43"/>
      <c r="P84" s="43"/>
      <c r="Q84" s="43"/>
      <c r="R84" s="43"/>
    </row>
    <row r="85" ht="16.5" customHeight="1">
      <c r="A85" s="55"/>
      <c r="B85" s="56"/>
      <c r="C85" s="118" t="s">
        <v>28</v>
      </c>
      <c r="D85" s="85" t="str">
        <f>'管理シフト'!P56</f>
        <v/>
      </c>
      <c r="E85" s="80"/>
      <c r="F85" s="81"/>
      <c r="G85" s="78">
        <f>E85-F85</f>
        <v>0</v>
      </c>
      <c r="H85" s="79"/>
      <c r="I85" s="85" t="str">
        <f>'管理シフト'!S56</f>
        <v/>
      </c>
      <c r="J85" s="80"/>
      <c r="K85" s="81"/>
      <c r="L85" s="78">
        <f>J85-K85</f>
        <v>0</v>
      </c>
      <c r="M85" s="43"/>
      <c r="N85" s="54" t="s">
        <v>13</v>
      </c>
      <c r="O85" s="54" t="s">
        <v>14</v>
      </c>
      <c r="P85" s="54" t="s">
        <v>15</v>
      </c>
      <c r="Q85" s="43"/>
      <c r="R85" s="43"/>
    </row>
    <row r="86" ht="13.5" customHeight="1">
      <c r="A86" s="63"/>
      <c r="B86" s="64"/>
      <c r="C86" s="109"/>
      <c r="D86" s="122" t="s">
        <v>27</v>
      </c>
      <c r="E86" s="77"/>
      <c r="F86" s="77"/>
      <c r="G86" s="84"/>
      <c r="H86" s="79"/>
      <c r="I86" s="122" t="s">
        <v>27</v>
      </c>
      <c r="J86" s="77"/>
      <c r="K86" s="77"/>
      <c r="L86" s="84"/>
      <c r="M86" s="43"/>
      <c r="N86" s="43">
        <f t="shared" ref="N86:P86" si="33">E84+E86+J84+J86</f>
        <v>1</v>
      </c>
      <c r="O86" s="43">
        <f t="shared" si="33"/>
        <v>1</v>
      </c>
      <c r="P86" s="43">
        <f t="shared" si="33"/>
        <v>0</v>
      </c>
      <c r="Q86" s="43"/>
      <c r="R86" s="43"/>
    </row>
    <row r="87" ht="13.5" customHeight="1">
      <c r="A87" s="43"/>
      <c r="B87" s="65"/>
      <c r="C87" s="79"/>
      <c r="D87" s="86"/>
      <c r="E87" s="88"/>
      <c r="F87" s="88"/>
      <c r="G87" s="79"/>
      <c r="H87" s="79"/>
      <c r="I87" s="86"/>
      <c r="J87" s="87">
        <f t="shared" ref="J87:K87" si="34">E83+E85+J83+J85</f>
        <v>28000</v>
      </c>
      <c r="K87" s="87">
        <f t="shared" si="34"/>
        <v>17000</v>
      </c>
      <c r="L87" s="87">
        <f>SUM(G83+G85+L83+L85+Q83+Q85)</f>
        <v>11000</v>
      </c>
      <c r="M87" s="43"/>
      <c r="N87" s="43"/>
      <c r="O87" s="43"/>
      <c r="P87" s="43"/>
      <c r="Q87" s="43"/>
      <c r="R87" s="43"/>
    </row>
    <row r="88" ht="16.5" customHeight="1">
      <c r="A88" s="46">
        <v>18.0</v>
      </c>
      <c r="B88" s="70" t="str">
        <f>'【大井町】売上'!C21</f>
        <v>水</v>
      </c>
      <c r="C88" s="118" t="s">
        <v>26</v>
      </c>
      <c r="D88" s="85" t="str">
        <f>'管理シフト'!P58</f>
        <v/>
      </c>
      <c r="E88" s="80">
        <v>18000.0</v>
      </c>
      <c r="F88" s="81">
        <v>10500.0</v>
      </c>
      <c r="G88" s="78">
        <f>E88-F88</f>
        <v>7500</v>
      </c>
      <c r="H88" s="79"/>
      <c r="I88" s="76" t="str">
        <f>'管理シフト'!S58</f>
        <v/>
      </c>
      <c r="J88" s="80">
        <v>41000.0</v>
      </c>
      <c r="K88" s="81">
        <v>24000.0</v>
      </c>
      <c r="L88" s="78">
        <f>J88-K88</f>
        <v>17000</v>
      </c>
      <c r="M88" s="43"/>
      <c r="N88" s="43"/>
      <c r="O88" s="43"/>
      <c r="P88" s="43"/>
      <c r="Q88" s="43"/>
      <c r="R88" s="43"/>
    </row>
    <row r="89" ht="13.5" customHeight="1">
      <c r="A89" s="55"/>
      <c r="B89" s="56"/>
      <c r="C89" s="109"/>
      <c r="D89" s="122" t="s">
        <v>27</v>
      </c>
      <c r="E89" s="77">
        <v>0.0</v>
      </c>
      <c r="F89" s="77">
        <v>1.0</v>
      </c>
      <c r="G89" s="84">
        <v>0.0</v>
      </c>
      <c r="H89" s="79"/>
      <c r="I89" s="122" t="s">
        <v>27</v>
      </c>
      <c r="J89" s="77">
        <v>0.0</v>
      </c>
      <c r="K89" s="77">
        <v>1.0</v>
      </c>
      <c r="L89" s="84">
        <v>1.0</v>
      </c>
      <c r="M89" s="43"/>
      <c r="N89" s="43"/>
      <c r="O89" s="43"/>
      <c r="P89" s="43"/>
      <c r="Q89" s="43"/>
      <c r="R89" s="43"/>
    </row>
    <row r="90" ht="16.5" customHeight="1">
      <c r="A90" s="55"/>
      <c r="B90" s="56"/>
      <c r="C90" s="118" t="s">
        <v>28</v>
      </c>
      <c r="D90" s="85" t="str">
        <f>'管理シフト'!P59</f>
        <v/>
      </c>
      <c r="E90" s="80"/>
      <c r="F90" s="81"/>
      <c r="G90" s="78">
        <f>E90-F90</f>
        <v>0</v>
      </c>
      <c r="H90" s="79"/>
      <c r="I90" s="85" t="str">
        <f>'管理シフト'!S59</f>
        <v/>
      </c>
      <c r="J90" s="80"/>
      <c r="K90" s="81"/>
      <c r="L90" s="78">
        <f>J90-K90</f>
        <v>0</v>
      </c>
      <c r="M90" s="43"/>
      <c r="N90" s="54" t="s">
        <v>13</v>
      </c>
      <c r="O90" s="54" t="s">
        <v>14</v>
      </c>
      <c r="P90" s="54" t="s">
        <v>15</v>
      </c>
      <c r="Q90" s="43"/>
      <c r="R90" s="43"/>
    </row>
    <row r="91" ht="13.5" customHeight="1">
      <c r="A91" s="63"/>
      <c r="B91" s="64"/>
      <c r="C91" s="109"/>
      <c r="D91" s="122" t="s">
        <v>27</v>
      </c>
      <c r="E91" s="77"/>
      <c r="F91" s="77"/>
      <c r="G91" s="84"/>
      <c r="H91" s="79"/>
      <c r="I91" s="122" t="s">
        <v>27</v>
      </c>
      <c r="J91" s="77"/>
      <c r="K91" s="77"/>
      <c r="L91" s="84"/>
      <c r="M91" s="43"/>
      <c r="N91" s="43">
        <f t="shared" ref="N91:P91" si="35">E89+E91+J89+J91</f>
        <v>0</v>
      </c>
      <c r="O91" s="43">
        <f t="shared" si="35"/>
        <v>2</v>
      </c>
      <c r="P91" s="43">
        <f t="shared" si="35"/>
        <v>1</v>
      </c>
      <c r="Q91" s="43"/>
      <c r="R91" s="43"/>
    </row>
    <row r="92" ht="13.5" customHeight="1">
      <c r="A92" s="43"/>
      <c r="B92" s="65"/>
      <c r="C92" s="79"/>
      <c r="D92" s="86"/>
      <c r="E92" s="88"/>
      <c r="F92" s="88"/>
      <c r="G92" s="79"/>
      <c r="H92" s="79"/>
      <c r="I92" s="86"/>
      <c r="J92" s="87">
        <f t="shared" ref="J92:K92" si="36">E88+E90+J88+J90</f>
        <v>59000</v>
      </c>
      <c r="K92" s="87">
        <f t="shared" si="36"/>
        <v>34500</v>
      </c>
      <c r="L92" s="87">
        <f>SUM(G88+G90+L88+L90+Q88+Q90)</f>
        <v>24500</v>
      </c>
      <c r="M92" s="43"/>
      <c r="N92" s="43"/>
      <c r="O92" s="43"/>
      <c r="P92" s="43"/>
      <c r="Q92" s="43"/>
      <c r="R92" s="43"/>
    </row>
    <row r="93" ht="16.5" customHeight="1">
      <c r="A93" s="46">
        <v>19.0</v>
      </c>
      <c r="B93" s="70" t="str">
        <f>'【大井町】売上'!C22</f>
        <v>木</v>
      </c>
      <c r="C93" s="118" t="s">
        <v>26</v>
      </c>
      <c r="D93" s="76" t="str">
        <f>'管理シフト'!P61</f>
        <v/>
      </c>
      <c r="E93" s="80"/>
      <c r="F93" s="81"/>
      <c r="G93" s="78">
        <f>E93-F93</f>
        <v>0</v>
      </c>
      <c r="H93" s="79"/>
      <c r="I93" s="76" t="str">
        <f>'管理シフト'!S61</f>
        <v/>
      </c>
      <c r="J93" s="80">
        <v>15000.0</v>
      </c>
      <c r="K93" s="81">
        <v>8500.0</v>
      </c>
      <c r="L93" s="78">
        <f>J93-K93</f>
        <v>6500</v>
      </c>
      <c r="M93" s="43"/>
      <c r="N93" s="43"/>
      <c r="O93" s="43"/>
      <c r="P93" s="43"/>
      <c r="Q93" s="43"/>
      <c r="R93" s="43"/>
    </row>
    <row r="94" ht="13.5" customHeight="1">
      <c r="A94" s="55"/>
      <c r="B94" s="56"/>
      <c r="C94" s="109"/>
      <c r="D94" s="122" t="s">
        <v>27</v>
      </c>
      <c r="E94" s="77"/>
      <c r="F94" s="77"/>
      <c r="G94" s="84"/>
      <c r="H94" s="79"/>
      <c r="I94" s="122" t="s">
        <v>27</v>
      </c>
      <c r="J94" s="77">
        <v>0.0</v>
      </c>
      <c r="K94" s="77">
        <v>1.0</v>
      </c>
      <c r="L94" s="84">
        <v>0.0</v>
      </c>
      <c r="M94" s="43"/>
      <c r="N94" s="43"/>
      <c r="O94" s="43"/>
      <c r="P94" s="43"/>
      <c r="Q94" s="43"/>
      <c r="R94" s="43"/>
    </row>
    <row r="95" ht="16.5" customHeight="1">
      <c r="A95" s="55"/>
      <c r="B95" s="56"/>
      <c r="C95" s="118" t="s">
        <v>28</v>
      </c>
      <c r="D95" s="85" t="str">
        <f>'管理シフト'!P62</f>
        <v/>
      </c>
      <c r="E95" s="80">
        <v>32000.0</v>
      </c>
      <c r="F95" s="81">
        <v>20000.0</v>
      </c>
      <c r="G95" s="78">
        <f>E95-F95</f>
        <v>12000</v>
      </c>
      <c r="H95" s="79"/>
      <c r="I95" s="85" t="str">
        <f>'管理シフト'!S62</f>
        <v/>
      </c>
      <c r="J95" s="80"/>
      <c r="K95" s="81"/>
      <c r="L95" s="78">
        <f>J95-K95</f>
        <v>0</v>
      </c>
      <c r="M95" s="43"/>
      <c r="N95" s="54" t="s">
        <v>13</v>
      </c>
      <c r="O95" s="54" t="s">
        <v>14</v>
      </c>
      <c r="P95" s="54" t="s">
        <v>15</v>
      </c>
      <c r="Q95" s="43"/>
      <c r="R95" s="43"/>
    </row>
    <row r="96" ht="13.5" customHeight="1">
      <c r="A96" s="63"/>
      <c r="B96" s="64"/>
      <c r="C96" s="109"/>
      <c r="D96" s="122" t="s">
        <v>27</v>
      </c>
      <c r="E96" s="77">
        <v>0.0</v>
      </c>
      <c r="F96" s="77">
        <v>2.0</v>
      </c>
      <c r="G96" s="84">
        <v>0.0</v>
      </c>
      <c r="H96" s="79"/>
      <c r="I96" s="122" t="s">
        <v>27</v>
      </c>
      <c r="J96" s="77"/>
      <c r="K96" s="77"/>
      <c r="L96" s="84"/>
      <c r="M96" s="43"/>
      <c r="N96" s="43">
        <f t="shared" ref="N96:P96" si="37">E94+E96+J94+J96</f>
        <v>0</v>
      </c>
      <c r="O96" s="43">
        <f t="shared" si="37"/>
        <v>3</v>
      </c>
      <c r="P96" s="43">
        <f t="shared" si="37"/>
        <v>0</v>
      </c>
      <c r="Q96" s="43"/>
      <c r="R96" s="43"/>
    </row>
    <row r="97" ht="13.5" customHeight="1">
      <c r="A97" s="43"/>
      <c r="B97" s="65"/>
      <c r="C97" s="79"/>
      <c r="D97" s="86"/>
      <c r="E97" s="88"/>
      <c r="F97" s="88"/>
      <c r="G97" s="79"/>
      <c r="H97" s="79"/>
      <c r="I97" s="124"/>
      <c r="J97" s="87">
        <f t="shared" ref="J97:K97" si="38">E93+E95+J93+J95</f>
        <v>47000</v>
      </c>
      <c r="K97" s="87">
        <f t="shared" si="38"/>
        <v>28500</v>
      </c>
      <c r="L97" s="87">
        <f>SUM(G93+G95+L93+L95+Q93+Q95)</f>
        <v>18500</v>
      </c>
      <c r="M97" s="43"/>
      <c r="N97" s="43"/>
      <c r="O97" s="43"/>
      <c r="P97" s="43"/>
      <c r="Q97" s="43"/>
      <c r="R97" s="43"/>
    </row>
    <row r="98" ht="16.5" customHeight="1">
      <c r="A98" s="46">
        <v>20.0</v>
      </c>
      <c r="B98" s="70" t="str">
        <f>'【大井町】売上'!C23</f>
        <v>金</v>
      </c>
      <c r="C98" s="118" t="s">
        <v>26</v>
      </c>
      <c r="D98" s="76" t="str">
        <f>'管理シフト'!P64</f>
        <v/>
      </c>
      <c r="E98" s="80"/>
      <c r="F98" s="81"/>
      <c r="G98" s="78">
        <f>E98-F98</f>
        <v>0</v>
      </c>
      <c r="H98" s="79"/>
      <c r="I98" s="76" t="str">
        <f>'管理シフト'!S64</f>
        <v/>
      </c>
      <c r="J98" s="80"/>
      <c r="K98" s="81"/>
      <c r="L98" s="78">
        <f>J98-K98</f>
        <v>0</v>
      </c>
      <c r="M98" s="43"/>
      <c r="N98" s="43"/>
      <c r="O98" s="43"/>
      <c r="P98" s="43"/>
      <c r="Q98" s="43"/>
      <c r="R98" s="43"/>
    </row>
    <row r="99" ht="13.5" customHeight="1">
      <c r="A99" s="55"/>
      <c r="B99" s="56"/>
      <c r="C99" s="109"/>
      <c r="D99" s="122" t="s">
        <v>27</v>
      </c>
      <c r="E99" s="77"/>
      <c r="F99" s="77"/>
      <c r="G99" s="84"/>
      <c r="H99" s="79"/>
      <c r="I99" s="122" t="s">
        <v>27</v>
      </c>
      <c r="J99" s="77"/>
      <c r="K99" s="77"/>
      <c r="L99" s="84"/>
      <c r="M99" s="43"/>
      <c r="N99" s="43"/>
      <c r="O99" s="43"/>
      <c r="P99" s="43"/>
      <c r="Q99" s="43"/>
      <c r="R99" s="43"/>
    </row>
    <row r="100" ht="16.5" customHeight="1">
      <c r="A100" s="55"/>
      <c r="B100" s="56"/>
      <c r="C100" s="118" t="s">
        <v>28</v>
      </c>
      <c r="D100" s="85" t="str">
        <f>'管理シフト'!P65</f>
        <v/>
      </c>
      <c r="E100" s="80">
        <v>25000.0</v>
      </c>
      <c r="F100" s="81">
        <v>13670.0</v>
      </c>
      <c r="G100" s="78">
        <f>E100-F100</f>
        <v>11330</v>
      </c>
      <c r="H100" s="79"/>
      <c r="I100" s="85" t="str">
        <f>'管理シフト'!S65</f>
        <v/>
      </c>
      <c r="J100" s="80">
        <v>20000.0</v>
      </c>
      <c r="K100" s="81">
        <v>14000.0</v>
      </c>
      <c r="L100" s="78">
        <f>J100-K100</f>
        <v>6000</v>
      </c>
      <c r="M100" s="43"/>
      <c r="N100" s="54" t="s">
        <v>13</v>
      </c>
      <c r="O100" s="54" t="s">
        <v>14</v>
      </c>
      <c r="P100" s="54" t="s">
        <v>15</v>
      </c>
      <c r="Q100" s="43"/>
      <c r="R100" s="43"/>
    </row>
    <row r="101" ht="13.5" customHeight="1">
      <c r="A101" s="63"/>
      <c r="B101" s="64"/>
      <c r="C101" s="109"/>
      <c r="D101" s="122" t="s">
        <v>27</v>
      </c>
      <c r="E101" s="77">
        <v>1.0</v>
      </c>
      <c r="F101" s="77">
        <v>0.0</v>
      </c>
      <c r="G101" s="84">
        <v>0.0</v>
      </c>
      <c r="H101" s="79"/>
      <c r="I101" s="122" t="s">
        <v>27</v>
      </c>
      <c r="J101" s="77">
        <v>0.0</v>
      </c>
      <c r="K101" s="77">
        <v>0.0</v>
      </c>
      <c r="L101" s="84">
        <v>1.0</v>
      </c>
      <c r="M101" s="43"/>
      <c r="N101" s="43">
        <f t="shared" ref="N101:P101" si="39">E99+E101+J99+J101</f>
        <v>1</v>
      </c>
      <c r="O101" s="43">
        <f t="shared" si="39"/>
        <v>0</v>
      </c>
      <c r="P101" s="43">
        <f t="shared" si="39"/>
        <v>1</v>
      </c>
      <c r="Q101" s="43"/>
      <c r="R101" s="43"/>
    </row>
    <row r="102" ht="13.5" customHeight="1">
      <c r="A102" s="43"/>
      <c r="B102" s="65"/>
      <c r="C102" s="79"/>
      <c r="D102" s="86"/>
      <c r="E102" s="88"/>
      <c r="F102" s="88"/>
      <c r="G102" s="79"/>
      <c r="H102" s="79"/>
      <c r="I102" s="86"/>
      <c r="J102" s="87">
        <f t="shared" ref="J102:K102" si="40">E98+E100+J98+J100</f>
        <v>45000</v>
      </c>
      <c r="K102" s="87">
        <f t="shared" si="40"/>
        <v>27670</v>
      </c>
      <c r="L102" s="87">
        <f>SUM(G98+G100+L98+L100+Q98+Q100)</f>
        <v>17330</v>
      </c>
      <c r="M102" s="43"/>
      <c r="N102" s="43"/>
      <c r="O102" s="43"/>
      <c r="P102" s="43"/>
      <c r="Q102" s="43"/>
      <c r="R102" s="43"/>
    </row>
    <row r="103" ht="16.5" customHeight="1">
      <c r="A103" s="46">
        <v>21.0</v>
      </c>
      <c r="B103" s="70" t="str">
        <f>'【大井町】売上'!C24</f>
        <v>土</v>
      </c>
      <c r="C103" s="118" t="s">
        <v>26</v>
      </c>
      <c r="D103" s="76" t="str">
        <f>'管理シフト'!P67</f>
        <v/>
      </c>
      <c r="E103" s="80"/>
      <c r="F103" s="81"/>
      <c r="G103" s="78">
        <f>E103-F103</f>
        <v>0</v>
      </c>
      <c r="H103" s="79"/>
      <c r="I103" s="76" t="str">
        <f>'管理シフト'!S67</f>
        <v/>
      </c>
      <c r="J103" s="80"/>
      <c r="K103" s="81"/>
      <c r="L103" s="78">
        <f>J103-K103</f>
        <v>0</v>
      </c>
      <c r="M103" s="43"/>
      <c r="N103" s="43"/>
      <c r="O103" s="43"/>
      <c r="P103" s="43"/>
      <c r="Q103" s="43"/>
      <c r="R103" s="43"/>
    </row>
    <row r="104" ht="13.5" customHeight="1">
      <c r="A104" s="55"/>
      <c r="B104" s="56"/>
      <c r="C104" s="109"/>
      <c r="D104" s="122" t="s">
        <v>27</v>
      </c>
      <c r="E104" s="77"/>
      <c r="F104" s="77"/>
      <c r="G104" s="84"/>
      <c r="H104" s="79"/>
      <c r="I104" s="122" t="s">
        <v>27</v>
      </c>
      <c r="J104" s="77"/>
      <c r="K104" s="77"/>
      <c r="L104" s="84"/>
      <c r="M104" s="43"/>
      <c r="N104" s="43"/>
      <c r="O104" s="43"/>
      <c r="P104" s="43"/>
      <c r="Q104" s="43"/>
      <c r="R104" s="43"/>
    </row>
    <row r="105" ht="16.5" customHeight="1">
      <c r="A105" s="55"/>
      <c r="B105" s="56"/>
      <c r="C105" s="118" t="s">
        <v>28</v>
      </c>
      <c r="D105" s="85" t="str">
        <f>'管理シフト'!P68</f>
        <v/>
      </c>
      <c r="E105" s="80">
        <v>0.0</v>
      </c>
      <c r="F105" s="81">
        <v>0.0</v>
      </c>
      <c r="G105" s="78">
        <f>E105-F105</f>
        <v>0</v>
      </c>
      <c r="H105" s="79"/>
      <c r="I105" s="76" t="str">
        <f>'管理シフト'!S68</f>
        <v/>
      </c>
      <c r="J105" s="80"/>
      <c r="K105" s="81"/>
      <c r="L105" s="78">
        <f>J105-K105</f>
        <v>0</v>
      </c>
      <c r="M105" s="43"/>
      <c r="N105" s="54" t="s">
        <v>13</v>
      </c>
      <c r="O105" s="54" t="s">
        <v>14</v>
      </c>
      <c r="P105" s="54" t="s">
        <v>15</v>
      </c>
      <c r="Q105" s="43"/>
      <c r="R105" s="43"/>
    </row>
    <row r="106" ht="13.5" customHeight="1">
      <c r="A106" s="63"/>
      <c r="B106" s="64"/>
      <c r="C106" s="109"/>
      <c r="D106" s="122" t="s">
        <v>27</v>
      </c>
      <c r="E106" s="77"/>
      <c r="F106" s="77"/>
      <c r="G106" s="84"/>
      <c r="H106" s="79"/>
      <c r="I106" s="122" t="s">
        <v>27</v>
      </c>
      <c r="J106" s="77"/>
      <c r="K106" s="77"/>
      <c r="L106" s="84"/>
      <c r="M106" s="43"/>
      <c r="N106" s="43">
        <f t="shared" ref="N106:P106" si="41">E104+E106+J104+J106</f>
        <v>0</v>
      </c>
      <c r="O106" s="43">
        <f t="shared" si="41"/>
        <v>0</v>
      </c>
      <c r="P106" s="43">
        <f t="shared" si="41"/>
        <v>0</v>
      </c>
      <c r="Q106" s="43"/>
      <c r="R106" s="43"/>
    </row>
    <row r="107" ht="13.5" customHeight="1">
      <c r="A107" s="43"/>
      <c r="B107" s="65"/>
      <c r="C107" s="79"/>
      <c r="D107" s="86"/>
      <c r="E107" s="88"/>
      <c r="F107" s="88"/>
      <c r="G107" s="79"/>
      <c r="H107" s="79"/>
      <c r="I107" s="86"/>
      <c r="J107" s="87">
        <f t="shared" ref="J107:K107" si="42">E103+E105+J103+J105</f>
        <v>0</v>
      </c>
      <c r="K107" s="87">
        <f t="shared" si="42"/>
        <v>0</v>
      </c>
      <c r="L107" s="87">
        <f>SUM(G103+G105+L103+L105+Q103+Q105)</f>
        <v>0</v>
      </c>
      <c r="M107" s="43"/>
      <c r="N107" s="43"/>
      <c r="O107" s="43"/>
      <c r="P107" s="43"/>
      <c r="Q107" s="43"/>
      <c r="R107" s="43"/>
    </row>
    <row r="108" ht="16.5" customHeight="1">
      <c r="A108" s="46">
        <v>22.0</v>
      </c>
      <c r="B108" s="70" t="str">
        <f>'【大井町】売上'!C25</f>
        <v>日</v>
      </c>
      <c r="C108" s="118" t="s">
        <v>26</v>
      </c>
      <c r="D108" s="76" t="str">
        <f>'管理シフト'!P70</f>
        <v/>
      </c>
      <c r="E108" s="80">
        <v>0.0</v>
      </c>
      <c r="F108" s="81">
        <v>0.0</v>
      </c>
      <c r="G108" s="78">
        <f>E108-F108</f>
        <v>0</v>
      </c>
      <c r="H108" s="79"/>
      <c r="I108" s="76" t="str">
        <f>'管理シフト'!S70</f>
        <v/>
      </c>
      <c r="J108" s="80">
        <v>0.0</v>
      </c>
      <c r="K108" s="81">
        <v>0.0</v>
      </c>
      <c r="L108" s="78">
        <f>J108-K108</f>
        <v>0</v>
      </c>
      <c r="M108" s="43"/>
      <c r="N108" s="43"/>
      <c r="O108" s="43"/>
      <c r="P108" s="43"/>
      <c r="Q108" s="43"/>
      <c r="R108" s="43"/>
    </row>
    <row r="109" ht="13.5" customHeight="1">
      <c r="A109" s="55"/>
      <c r="B109" s="56"/>
      <c r="C109" s="109"/>
      <c r="D109" s="122" t="s">
        <v>27</v>
      </c>
      <c r="E109" s="77"/>
      <c r="F109" s="77"/>
      <c r="G109" s="84"/>
      <c r="H109" s="79"/>
      <c r="I109" s="122" t="s">
        <v>27</v>
      </c>
      <c r="J109" s="77"/>
      <c r="K109" s="77"/>
      <c r="L109" s="84"/>
      <c r="M109" s="43"/>
      <c r="N109" s="43"/>
      <c r="O109" s="43"/>
      <c r="P109" s="43"/>
      <c r="Q109" s="43"/>
      <c r="R109" s="43"/>
    </row>
    <row r="110" ht="16.5" customHeight="1">
      <c r="A110" s="55"/>
      <c r="B110" s="56"/>
      <c r="C110" s="118" t="s">
        <v>28</v>
      </c>
      <c r="D110" s="85" t="str">
        <f>'管理シフト'!P71</f>
        <v/>
      </c>
      <c r="E110" s="80"/>
      <c r="F110" s="81"/>
      <c r="G110" s="78">
        <f>E110-F110</f>
        <v>0</v>
      </c>
      <c r="H110" s="79"/>
      <c r="I110" s="85" t="str">
        <f>'管理シフト'!S71</f>
        <v/>
      </c>
      <c r="J110" s="80"/>
      <c r="K110" s="81"/>
      <c r="L110" s="78">
        <f>J110-K110</f>
        <v>0</v>
      </c>
      <c r="M110" s="43"/>
      <c r="N110" s="54" t="s">
        <v>13</v>
      </c>
      <c r="O110" s="54" t="s">
        <v>14</v>
      </c>
      <c r="P110" s="54" t="s">
        <v>15</v>
      </c>
      <c r="Q110" s="43"/>
      <c r="R110" s="43"/>
    </row>
    <row r="111" ht="13.5" customHeight="1">
      <c r="A111" s="63"/>
      <c r="B111" s="64"/>
      <c r="C111" s="109"/>
      <c r="D111" s="122" t="s">
        <v>27</v>
      </c>
      <c r="E111" s="77"/>
      <c r="F111" s="77"/>
      <c r="G111" s="84"/>
      <c r="H111" s="79"/>
      <c r="I111" s="122" t="s">
        <v>27</v>
      </c>
      <c r="J111" s="77"/>
      <c r="K111" s="77"/>
      <c r="L111" s="84"/>
      <c r="M111" s="43"/>
      <c r="N111" s="43">
        <f t="shared" ref="N111:P111" si="43">E109+E111+J109+J111</f>
        <v>0</v>
      </c>
      <c r="O111" s="43">
        <f t="shared" si="43"/>
        <v>0</v>
      </c>
      <c r="P111" s="43">
        <f t="shared" si="43"/>
        <v>0</v>
      </c>
      <c r="Q111" s="43"/>
      <c r="R111" s="43"/>
    </row>
    <row r="112" ht="13.5" customHeight="1">
      <c r="A112" s="43"/>
      <c r="B112" s="65"/>
      <c r="C112" s="79"/>
      <c r="D112" s="85" t="str">
        <f>'管理シフト'!J103</f>
        <v/>
      </c>
      <c r="E112" s="88"/>
      <c r="F112" s="88"/>
      <c r="G112" s="79"/>
      <c r="H112" s="79"/>
      <c r="I112" s="86"/>
      <c r="J112" s="87">
        <f t="shared" ref="J112:K112" si="44">E108+E110+J108+J110</f>
        <v>0</v>
      </c>
      <c r="K112" s="87">
        <f t="shared" si="44"/>
        <v>0</v>
      </c>
      <c r="L112" s="87">
        <f>SUM(G108+G110+L108+L110+Q108+Q110)</f>
        <v>0</v>
      </c>
      <c r="M112" s="43"/>
      <c r="N112" s="43"/>
      <c r="O112" s="43"/>
      <c r="P112" s="43"/>
      <c r="Q112" s="43"/>
      <c r="R112" s="43"/>
    </row>
    <row r="113" ht="16.5" customHeight="1">
      <c r="A113" s="46">
        <v>23.0</v>
      </c>
      <c r="B113" s="70" t="str">
        <f>'【大井町】売上'!C26</f>
        <v>月</v>
      </c>
      <c r="C113" s="118" t="s">
        <v>26</v>
      </c>
      <c r="D113" s="76" t="str">
        <f>'管理シフト'!P73</f>
        <v/>
      </c>
      <c r="E113" s="80"/>
      <c r="F113" s="81"/>
      <c r="G113" s="78">
        <f>E113-F113</f>
        <v>0</v>
      </c>
      <c r="H113" s="79"/>
      <c r="I113" s="76" t="str">
        <f>'管理シフト'!S73</f>
        <v/>
      </c>
      <c r="J113" s="80"/>
      <c r="K113" s="81"/>
      <c r="L113" s="78">
        <f>J113-K113</f>
        <v>0</v>
      </c>
      <c r="M113" s="43"/>
      <c r="N113" s="43"/>
      <c r="O113" s="43"/>
      <c r="P113" s="43"/>
      <c r="Q113" s="43"/>
      <c r="R113" s="43"/>
    </row>
    <row r="114" ht="13.5" customHeight="1">
      <c r="A114" s="55"/>
      <c r="B114" s="56"/>
      <c r="C114" s="109"/>
      <c r="D114" s="122" t="s">
        <v>27</v>
      </c>
      <c r="E114" s="77"/>
      <c r="F114" s="77"/>
      <c r="G114" s="84"/>
      <c r="H114" s="79"/>
      <c r="I114" s="122" t="s">
        <v>27</v>
      </c>
      <c r="J114" s="77"/>
      <c r="K114" s="77"/>
      <c r="L114" s="84"/>
      <c r="M114" s="43"/>
      <c r="N114" s="43"/>
      <c r="O114" s="43"/>
      <c r="P114" s="43"/>
      <c r="Q114" s="43"/>
      <c r="R114" s="43"/>
    </row>
    <row r="115" ht="16.5" customHeight="1">
      <c r="A115" s="55"/>
      <c r="B115" s="56"/>
      <c r="C115" s="118" t="s">
        <v>28</v>
      </c>
      <c r="D115" s="85" t="str">
        <f>'管理シフト'!P74</f>
        <v/>
      </c>
      <c r="E115" s="80"/>
      <c r="F115" s="81"/>
      <c r="G115" s="78">
        <f>E115-F115</f>
        <v>0</v>
      </c>
      <c r="H115" s="79"/>
      <c r="I115" s="85" t="str">
        <f>'管理シフト'!S74</f>
        <v/>
      </c>
      <c r="J115" s="80"/>
      <c r="K115" s="81"/>
      <c r="L115" s="78">
        <f>J115-K115</f>
        <v>0</v>
      </c>
      <c r="M115" s="43"/>
      <c r="N115" s="54" t="s">
        <v>13</v>
      </c>
      <c r="O115" s="54" t="s">
        <v>14</v>
      </c>
      <c r="P115" s="54" t="s">
        <v>15</v>
      </c>
      <c r="Q115" s="43"/>
      <c r="R115" s="43"/>
    </row>
    <row r="116" ht="13.5" customHeight="1">
      <c r="A116" s="63"/>
      <c r="B116" s="64"/>
      <c r="C116" s="109"/>
      <c r="D116" s="122" t="s">
        <v>27</v>
      </c>
      <c r="E116" s="77"/>
      <c r="F116" s="77"/>
      <c r="G116" s="84"/>
      <c r="H116" s="79"/>
      <c r="I116" s="122" t="s">
        <v>27</v>
      </c>
      <c r="J116" s="77"/>
      <c r="K116" s="77"/>
      <c r="L116" s="84"/>
      <c r="M116" s="43"/>
      <c r="N116" s="43">
        <f t="shared" ref="N116:P116" si="45">E114+E116+J114+J116</f>
        <v>0</v>
      </c>
      <c r="O116" s="43">
        <f t="shared" si="45"/>
        <v>0</v>
      </c>
      <c r="P116" s="43">
        <f t="shared" si="45"/>
        <v>0</v>
      </c>
      <c r="Q116" s="43"/>
      <c r="R116" s="43"/>
    </row>
    <row r="117" ht="13.5" customHeight="1">
      <c r="A117" s="43"/>
      <c r="B117" s="65"/>
      <c r="C117" s="79"/>
      <c r="D117" s="86"/>
      <c r="E117" s="88"/>
      <c r="F117" s="88"/>
      <c r="G117" s="79"/>
      <c r="H117" s="79"/>
      <c r="I117" s="124"/>
      <c r="J117" s="87">
        <f t="shared" ref="J117:K117" si="46">E113+E115+J113+J115</f>
        <v>0</v>
      </c>
      <c r="K117" s="87">
        <f t="shared" si="46"/>
        <v>0</v>
      </c>
      <c r="L117" s="87">
        <f>SUM(G113+G115+L113+L115+Q113+Q115)</f>
        <v>0</v>
      </c>
      <c r="M117" s="43"/>
      <c r="N117" s="43"/>
      <c r="O117" s="43"/>
      <c r="P117" s="43"/>
      <c r="Q117" s="43"/>
      <c r="R117" s="43"/>
    </row>
    <row r="118" ht="16.5" customHeight="1">
      <c r="A118" s="46">
        <v>24.0</v>
      </c>
      <c r="B118" s="70" t="str">
        <f>'【大井町】売上'!C27</f>
        <v>火</v>
      </c>
      <c r="C118" s="118" t="s">
        <v>26</v>
      </c>
      <c r="D118" s="76" t="str">
        <f>'管理シフト'!P76</f>
        <v/>
      </c>
      <c r="E118" s="80"/>
      <c r="F118" s="81"/>
      <c r="G118" s="78">
        <f>E118-F118</f>
        <v>0</v>
      </c>
      <c r="H118" s="79"/>
      <c r="I118" s="76" t="str">
        <f>'管理シフト'!S76</f>
        <v/>
      </c>
      <c r="J118" s="80"/>
      <c r="K118" s="81"/>
      <c r="L118" s="78">
        <f>J118-K118</f>
        <v>0</v>
      </c>
      <c r="M118" s="43"/>
      <c r="N118" s="43"/>
      <c r="O118" s="43"/>
      <c r="P118" s="43"/>
      <c r="Q118" s="43"/>
      <c r="R118" s="43"/>
    </row>
    <row r="119" ht="13.5" customHeight="1">
      <c r="A119" s="55"/>
      <c r="B119" s="56"/>
      <c r="C119" s="109"/>
      <c r="D119" s="122" t="s">
        <v>27</v>
      </c>
      <c r="E119" s="77"/>
      <c r="F119" s="77"/>
      <c r="G119" s="84"/>
      <c r="H119" s="79"/>
      <c r="I119" s="122" t="s">
        <v>27</v>
      </c>
      <c r="J119" s="77"/>
      <c r="K119" s="77"/>
      <c r="L119" s="84"/>
      <c r="M119" s="43"/>
      <c r="N119" s="43"/>
      <c r="O119" s="43"/>
      <c r="P119" s="43"/>
      <c r="Q119" s="43"/>
      <c r="R119" s="43"/>
    </row>
    <row r="120" ht="16.5" customHeight="1">
      <c r="A120" s="55"/>
      <c r="B120" s="56"/>
      <c r="C120" s="118" t="s">
        <v>28</v>
      </c>
      <c r="D120" s="85" t="str">
        <f>'管理シフト'!P77</f>
        <v/>
      </c>
      <c r="E120" s="80"/>
      <c r="F120" s="81"/>
      <c r="G120" s="78">
        <f>E120-F120</f>
        <v>0</v>
      </c>
      <c r="H120" s="79"/>
      <c r="I120" s="85" t="str">
        <f>'管理シフト'!S77</f>
        <v/>
      </c>
      <c r="J120" s="80"/>
      <c r="K120" s="81"/>
      <c r="L120" s="78">
        <f>J120-K120</f>
        <v>0</v>
      </c>
      <c r="M120" s="43"/>
      <c r="N120" s="54" t="s">
        <v>13</v>
      </c>
      <c r="O120" s="54" t="s">
        <v>14</v>
      </c>
      <c r="P120" s="54" t="s">
        <v>15</v>
      </c>
      <c r="Q120" s="43"/>
      <c r="R120" s="43"/>
    </row>
    <row r="121" ht="13.5" customHeight="1">
      <c r="A121" s="63"/>
      <c r="B121" s="64"/>
      <c r="C121" s="109"/>
      <c r="D121" s="122" t="s">
        <v>27</v>
      </c>
      <c r="E121" s="77"/>
      <c r="F121" s="77"/>
      <c r="G121" s="84"/>
      <c r="H121" s="79"/>
      <c r="I121" s="122" t="s">
        <v>27</v>
      </c>
      <c r="J121" s="77"/>
      <c r="K121" s="77"/>
      <c r="L121" s="84"/>
      <c r="M121" s="43"/>
      <c r="N121" s="43">
        <f t="shared" ref="N121:P121" si="47">E119+E121+J119+J121</f>
        <v>0</v>
      </c>
      <c r="O121" s="43">
        <f t="shared" si="47"/>
        <v>0</v>
      </c>
      <c r="P121" s="43">
        <f t="shared" si="47"/>
        <v>0</v>
      </c>
      <c r="Q121" s="43"/>
      <c r="R121" s="43"/>
    </row>
    <row r="122" ht="13.5" customHeight="1">
      <c r="A122" s="43"/>
      <c r="B122" s="65"/>
      <c r="C122" s="79"/>
      <c r="D122" s="86" t="str">
        <f>'管理シフト'!J112</f>
        <v/>
      </c>
      <c r="E122" s="88"/>
      <c r="F122" s="88"/>
      <c r="G122" s="79"/>
      <c r="H122" s="79"/>
      <c r="I122" s="86"/>
      <c r="J122" s="87">
        <f t="shared" ref="J122:K122" si="48">E118+E120+J118+J120</f>
        <v>0</v>
      </c>
      <c r="K122" s="87">
        <f t="shared" si="48"/>
        <v>0</v>
      </c>
      <c r="L122" s="87">
        <f>SUM(G118+G120+L118+L120+Q118+Q120)</f>
        <v>0</v>
      </c>
      <c r="M122" s="43"/>
      <c r="N122" s="43"/>
      <c r="O122" s="43"/>
      <c r="P122" s="43"/>
      <c r="Q122" s="43"/>
      <c r="R122" s="43"/>
    </row>
    <row r="123" ht="16.5" customHeight="1">
      <c r="A123" s="46">
        <v>25.0</v>
      </c>
      <c r="B123" s="70" t="str">
        <f>'【大井町】売上'!C28</f>
        <v>水</v>
      </c>
      <c r="C123" s="118" t="s">
        <v>26</v>
      </c>
      <c r="D123" s="76" t="str">
        <f>'管理シフト'!P79</f>
        <v/>
      </c>
      <c r="E123" s="80"/>
      <c r="F123" s="81"/>
      <c r="G123" s="78">
        <f>E123-F123</f>
        <v>0</v>
      </c>
      <c r="H123" s="79"/>
      <c r="I123" s="76" t="str">
        <f>'管理シフト'!S79</f>
        <v/>
      </c>
      <c r="J123" s="80"/>
      <c r="K123" s="81"/>
      <c r="L123" s="78">
        <f>J123-K123</f>
        <v>0</v>
      </c>
      <c r="M123" s="43"/>
      <c r="N123" s="43"/>
      <c r="O123" s="43"/>
      <c r="P123" s="43"/>
      <c r="Q123" s="43"/>
      <c r="R123" s="43"/>
    </row>
    <row r="124" ht="13.5" customHeight="1">
      <c r="A124" s="55"/>
      <c r="B124" s="56"/>
      <c r="C124" s="109"/>
      <c r="D124" s="122" t="s">
        <v>27</v>
      </c>
      <c r="E124" s="77"/>
      <c r="F124" s="77"/>
      <c r="G124" s="84"/>
      <c r="H124" s="79"/>
      <c r="I124" s="122" t="s">
        <v>27</v>
      </c>
      <c r="J124" s="77"/>
      <c r="K124" s="77"/>
      <c r="L124" s="84"/>
      <c r="M124" s="43"/>
      <c r="N124" s="43"/>
      <c r="O124" s="43"/>
      <c r="P124" s="43"/>
      <c r="Q124" s="43"/>
      <c r="R124" s="43"/>
    </row>
    <row r="125" ht="16.5" customHeight="1">
      <c r="A125" s="55"/>
      <c r="B125" s="56"/>
      <c r="C125" s="118" t="s">
        <v>28</v>
      </c>
      <c r="D125" s="85" t="str">
        <f>'管理シフト'!P80</f>
        <v/>
      </c>
      <c r="E125" s="80"/>
      <c r="F125" s="81"/>
      <c r="G125" s="78">
        <f>E125-F125</f>
        <v>0</v>
      </c>
      <c r="H125" s="79"/>
      <c r="I125" s="85" t="str">
        <f>'管理シフト'!S80</f>
        <v/>
      </c>
      <c r="J125" s="80"/>
      <c r="K125" s="81"/>
      <c r="L125" s="78">
        <f>J125-K125</f>
        <v>0</v>
      </c>
      <c r="M125" s="43"/>
      <c r="N125" s="54" t="s">
        <v>13</v>
      </c>
      <c r="O125" s="54" t="s">
        <v>14</v>
      </c>
      <c r="P125" s="54" t="s">
        <v>15</v>
      </c>
      <c r="Q125" s="43"/>
      <c r="R125" s="43"/>
    </row>
    <row r="126" ht="13.5" customHeight="1">
      <c r="A126" s="63"/>
      <c r="B126" s="64"/>
      <c r="C126" s="109"/>
      <c r="D126" s="122" t="s">
        <v>27</v>
      </c>
      <c r="E126" s="77"/>
      <c r="F126" s="77"/>
      <c r="G126" s="84"/>
      <c r="H126" s="79"/>
      <c r="I126" s="122" t="s">
        <v>27</v>
      </c>
      <c r="J126" s="77"/>
      <c r="K126" s="77"/>
      <c r="L126" s="84"/>
      <c r="M126" s="43"/>
      <c r="N126" s="43">
        <f t="shared" ref="N126:P126" si="49">E124+E126+J124+J126</f>
        <v>0</v>
      </c>
      <c r="O126" s="43">
        <f t="shared" si="49"/>
        <v>0</v>
      </c>
      <c r="P126" s="43">
        <f t="shared" si="49"/>
        <v>0</v>
      </c>
      <c r="Q126" s="43"/>
      <c r="R126" s="43"/>
    </row>
    <row r="127" ht="13.5" customHeight="1">
      <c r="A127" s="43"/>
      <c r="B127" s="65"/>
      <c r="C127" s="79"/>
      <c r="D127" s="86"/>
      <c r="E127" s="88"/>
      <c r="F127" s="88"/>
      <c r="G127" s="79"/>
      <c r="H127" s="79"/>
      <c r="I127" s="86"/>
      <c r="J127" s="87">
        <f t="shared" ref="J127:K127" si="50">E123+E125+J123+J125</f>
        <v>0</v>
      </c>
      <c r="K127" s="87">
        <f t="shared" si="50"/>
        <v>0</v>
      </c>
      <c r="L127" s="87">
        <f>SUM(G123+G125+L123+L125+Q123+Q125)</f>
        <v>0</v>
      </c>
      <c r="M127" s="43"/>
      <c r="N127" s="43"/>
      <c r="O127" s="43"/>
      <c r="P127" s="43"/>
      <c r="Q127" s="43"/>
      <c r="R127" s="43"/>
    </row>
    <row r="128" ht="16.5" customHeight="1">
      <c r="A128" s="46">
        <v>26.0</v>
      </c>
      <c r="B128" s="89" t="str">
        <f>'【大井町】売上'!C29</f>
        <v>木</v>
      </c>
      <c r="C128" s="118" t="s">
        <v>26</v>
      </c>
      <c r="D128" s="85" t="str">
        <f>'管理シフト'!P82</f>
        <v/>
      </c>
      <c r="E128" s="80"/>
      <c r="F128" s="81"/>
      <c r="G128" s="78">
        <f>E128-F128</f>
        <v>0</v>
      </c>
      <c r="H128" s="79"/>
      <c r="I128" s="85" t="str">
        <f>'管理シフト'!S82</f>
        <v/>
      </c>
      <c r="J128" s="80"/>
      <c r="K128" s="81"/>
      <c r="L128" s="78">
        <f>J128-K128</f>
        <v>0</v>
      </c>
      <c r="M128" s="43"/>
      <c r="N128" s="43"/>
      <c r="O128" s="43"/>
      <c r="P128" s="43"/>
      <c r="Q128" s="43"/>
      <c r="R128" s="43"/>
    </row>
    <row r="129" ht="13.5" customHeight="1">
      <c r="A129" s="55"/>
      <c r="B129" s="56"/>
      <c r="C129" s="109"/>
      <c r="D129" s="122" t="s">
        <v>27</v>
      </c>
      <c r="E129" s="77"/>
      <c r="F129" s="77"/>
      <c r="G129" s="84"/>
      <c r="H129" s="79"/>
      <c r="I129" s="122" t="s">
        <v>27</v>
      </c>
      <c r="J129" s="77"/>
      <c r="K129" s="77"/>
      <c r="L129" s="84"/>
      <c r="M129" s="43"/>
      <c r="N129" s="43"/>
      <c r="O129" s="43"/>
      <c r="P129" s="43"/>
      <c r="Q129" s="43"/>
      <c r="R129" s="43"/>
    </row>
    <row r="130" ht="16.5" customHeight="1">
      <c r="A130" s="55"/>
      <c r="B130" s="56"/>
      <c r="C130" s="118" t="s">
        <v>28</v>
      </c>
      <c r="D130" s="85" t="str">
        <f>'管理シフト'!P83</f>
        <v/>
      </c>
      <c r="E130" s="80"/>
      <c r="F130" s="81"/>
      <c r="G130" s="78">
        <f>E130-F130</f>
        <v>0</v>
      </c>
      <c r="H130" s="79"/>
      <c r="I130" s="85" t="str">
        <f>'管理シフト'!S83</f>
        <v/>
      </c>
      <c r="J130" s="80"/>
      <c r="K130" s="81"/>
      <c r="L130" s="78">
        <f>J130-K130</f>
        <v>0</v>
      </c>
      <c r="M130" s="43"/>
      <c r="N130" s="54" t="s">
        <v>13</v>
      </c>
      <c r="O130" s="54" t="s">
        <v>14</v>
      </c>
      <c r="P130" s="54" t="s">
        <v>15</v>
      </c>
      <c r="Q130" s="43"/>
      <c r="R130" s="43"/>
    </row>
    <row r="131" ht="13.5" customHeight="1">
      <c r="A131" s="63"/>
      <c r="B131" s="64"/>
      <c r="C131" s="109"/>
      <c r="D131" s="122" t="s">
        <v>27</v>
      </c>
      <c r="E131" s="77"/>
      <c r="F131" s="77"/>
      <c r="G131" s="84"/>
      <c r="H131" s="79"/>
      <c r="I131" s="122" t="s">
        <v>27</v>
      </c>
      <c r="J131" s="77"/>
      <c r="K131" s="77"/>
      <c r="L131" s="84"/>
      <c r="M131" s="43"/>
      <c r="N131" s="43">
        <f t="shared" ref="N131:P131" si="51">E129+E131+J129+J131</f>
        <v>0</v>
      </c>
      <c r="O131" s="43">
        <f t="shared" si="51"/>
        <v>0</v>
      </c>
      <c r="P131" s="43">
        <f t="shared" si="51"/>
        <v>0</v>
      </c>
      <c r="Q131" s="43"/>
      <c r="R131" s="43"/>
      <c r="Z131" s="98"/>
    </row>
    <row r="132" ht="13.5" customHeight="1">
      <c r="A132" s="43"/>
      <c r="B132" s="65"/>
      <c r="C132" s="79"/>
      <c r="D132" s="86" t="str">
        <f>'管理シフト'!J123</f>
        <v/>
      </c>
      <c r="E132" s="88"/>
      <c r="F132" s="88"/>
      <c r="G132" s="79"/>
      <c r="H132" s="79"/>
      <c r="I132" s="86"/>
      <c r="J132" s="87">
        <f t="shared" ref="J132:K132" si="52">E128+E130+J128+J130</f>
        <v>0</v>
      </c>
      <c r="K132" s="87">
        <f t="shared" si="52"/>
        <v>0</v>
      </c>
      <c r="L132" s="87">
        <f>SUM(G128+G130+L128+L130+Q128+Q130)</f>
        <v>0</v>
      </c>
      <c r="M132" s="43"/>
      <c r="N132" s="43"/>
      <c r="O132" s="43"/>
      <c r="P132" s="43"/>
      <c r="Q132" s="43"/>
      <c r="R132" s="43"/>
    </row>
    <row r="133" ht="16.5" customHeight="1">
      <c r="A133" s="46">
        <v>27.0</v>
      </c>
      <c r="B133" s="89" t="str">
        <f>'【大井町】売上'!C30</f>
        <v>金</v>
      </c>
      <c r="C133" s="118" t="s">
        <v>26</v>
      </c>
      <c r="D133" s="85" t="str">
        <f>'管理シフト'!P85</f>
        <v/>
      </c>
      <c r="E133" s="80"/>
      <c r="F133" s="81"/>
      <c r="G133" s="78">
        <f>E133-F133</f>
        <v>0</v>
      </c>
      <c r="H133" s="79"/>
      <c r="I133" s="124" t="str">
        <f>'管理シフト'!S85</f>
        <v/>
      </c>
      <c r="J133" s="80"/>
      <c r="K133" s="81"/>
      <c r="L133" s="78">
        <f>J133-K133</f>
        <v>0</v>
      </c>
      <c r="M133" s="43"/>
      <c r="N133" s="43"/>
      <c r="O133" s="43"/>
      <c r="P133" s="43"/>
      <c r="Q133" s="43"/>
      <c r="R133" s="43"/>
    </row>
    <row r="134" ht="13.5" customHeight="1">
      <c r="A134" s="55"/>
      <c r="B134" s="56"/>
      <c r="C134" s="109"/>
      <c r="D134" s="122" t="s">
        <v>27</v>
      </c>
      <c r="E134" s="77"/>
      <c r="F134" s="77"/>
      <c r="G134" s="84"/>
      <c r="H134" s="79"/>
      <c r="I134" s="122" t="s">
        <v>27</v>
      </c>
      <c r="J134" s="77"/>
      <c r="K134" s="77"/>
      <c r="L134" s="84"/>
      <c r="M134" s="43"/>
      <c r="N134" s="43"/>
      <c r="O134" s="43"/>
      <c r="P134" s="43"/>
      <c r="Q134" s="43"/>
      <c r="R134" s="43"/>
    </row>
    <row r="135" ht="16.5" customHeight="1">
      <c r="A135" s="55"/>
      <c r="B135" s="56"/>
      <c r="C135" s="118" t="s">
        <v>28</v>
      </c>
      <c r="D135" s="85" t="str">
        <f>'管理シフト'!P86</f>
        <v/>
      </c>
      <c r="E135" s="80"/>
      <c r="F135" s="81"/>
      <c r="G135" s="78">
        <f>E135-F135</f>
        <v>0</v>
      </c>
      <c r="H135" s="79"/>
      <c r="I135" s="85" t="str">
        <f>'管理シフト'!S86</f>
        <v/>
      </c>
      <c r="J135" s="80"/>
      <c r="K135" s="81"/>
      <c r="L135" s="78">
        <f>J135-K135</f>
        <v>0</v>
      </c>
      <c r="M135" s="43"/>
      <c r="N135" s="54" t="s">
        <v>13</v>
      </c>
      <c r="O135" s="54" t="s">
        <v>14</v>
      </c>
      <c r="P135" s="54" t="s">
        <v>15</v>
      </c>
      <c r="Q135" s="43"/>
      <c r="R135" s="43"/>
    </row>
    <row r="136" ht="13.5" customHeight="1">
      <c r="A136" s="63"/>
      <c r="B136" s="64"/>
      <c r="C136" s="109"/>
      <c r="D136" s="122" t="s">
        <v>27</v>
      </c>
      <c r="E136" s="77"/>
      <c r="F136" s="77"/>
      <c r="G136" s="84"/>
      <c r="H136" s="79"/>
      <c r="I136" s="122" t="s">
        <v>27</v>
      </c>
      <c r="J136" s="77"/>
      <c r="K136" s="77"/>
      <c r="L136" s="84"/>
      <c r="M136" s="43"/>
      <c r="N136" s="43">
        <f t="shared" ref="N136:P136" si="53">E134+E136+J134+J136</f>
        <v>0</v>
      </c>
      <c r="O136" s="43">
        <f t="shared" si="53"/>
        <v>0</v>
      </c>
      <c r="P136" s="43">
        <f t="shared" si="53"/>
        <v>0</v>
      </c>
      <c r="Q136" s="43"/>
      <c r="R136" s="43"/>
    </row>
    <row r="137" ht="13.5" customHeight="1">
      <c r="A137" s="43"/>
      <c r="B137" s="65"/>
      <c r="C137" s="79"/>
      <c r="D137" s="86"/>
      <c r="E137" s="88"/>
      <c r="F137" s="88"/>
      <c r="G137" s="79"/>
      <c r="H137" s="79"/>
      <c r="I137" s="124"/>
      <c r="J137" s="87">
        <f t="shared" ref="J137:K137" si="54">E133+E135+J133+J135</f>
        <v>0</v>
      </c>
      <c r="K137" s="87">
        <f t="shared" si="54"/>
        <v>0</v>
      </c>
      <c r="L137" s="87">
        <f>SUM(G133+G135+L133+L135+Q133+Q135)</f>
        <v>0</v>
      </c>
      <c r="M137" s="43"/>
      <c r="N137" s="43"/>
      <c r="O137" s="43"/>
      <c r="P137" s="43"/>
      <c r="Q137" s="43"/>
      <c r="R137" s="43"/>
    </row>
    <row r="138" ht="16.5" customHeight="1">
      <c r="A138" s="46">
        <v>28.0</v>
      </c>
      <c r="B138" s="89" t="str">
        <f>'【大井町】売上'!C31</f>
        <v>土</v>
      </c>
      <c r="C138" s="118" t="s">
        <v>26</v>
      </c>
      <c r="D138" s="85" t="str">
        <f>'管理シフト'!P88</f>
        <v/>
      </c>
      <c r="E138" s="80"/>
      <c r="F138" s="81"/>
      <c r="G138" s="78">
        <f>E138-F138</f>
        <v>0</v>
      </c>
      <c r="H138" s="79"/>
      <c r="I138" s="85" t="str">
        <f>'管理シフト'!S88</f>
        <v/>
      </c>
      <c r="J138" s="80"/>
      <c r="K138" s="81"/>
      <c r="L138" s="78">
        <f>J138-K138</f>
        <v>0</v>
      </c>
      <c r="M138" s="43"/>
      <c r="N138" s="43"/>
      <c r="O138" s="43"/>
      <c r="P138" s="43"/>
      <c r="Q138" s="43"/>
      <c r="R138" s="43"/>
    </row>
    <row r="139" ht="13.5" customHeight="1">
      <c r="A139" s="55"/>
      <c r="B139" s="56"/>
      <c r="C139" s="109"/>
      <c r="D139" s="122" t="s">
        <v>27</v>
      </c>
      <c r="E139" s="77"/>
      <c r="F139" s="77"/>
      <c r="G139" s="84"/>
      <c r="H139" s="79"/>
      <c r="I139" s="122" t="s">
        <v>27</v>
      </c>
      <c r="J139" s="77"/>
      <c r="K139" s="77"/>
      <c r="L139" s="84"/>
      <c r="M139" s="43"/>
      <c r="N139" s="43"/>
      <c r="O139" s="43"/>
      <c r="P139" s="43"/>
      <c r="Q139" s="43"/>
      <c r="R139" s="43"/>
    </row>
    <row r="140" ht="16.5" customHeight="1">
      <c r="A140" s="55"/>
      <c r="B140" s="56"/>
      <c r="C140" s="118" t="s">
        <v>28</v>
      </c>
      <c r="D140" s="85" t="str">
        <f>'管理シフト'!P89</f>
        <v/>
      </c>
      <c r="E140" s="80"/>
      <c r="F140" s="81"/>
      <c r="G140" s="78">
        <f>E140-F140</f>
        <v>0</v>
      </c>
      <c r="H140" s="79"/>
      <c r="I140" s="85" t="str">
        <f>'管理シフト'!S89</f>
        <v/>
      </c>
      <c r="J140" s="80"/>
      <c r="K140" s="81"/>
      <c r="L140" s="78">
        <f>J140-K140</f>
        <v>0</v>
      </c>
      <c r="M140" s="43"/>
      <c r="N140" s="54" t="s">
        <v>13</v>
      </c>
      <c r="O140" s="54" t="s">
        <v>14</v>
      </c>
      <c r="P140" s="54" t="s">
        <v>15</v>
      </c>
      <c r="Q140" s="43"/>
      <c r="R140" s="43"/>
    </row>
    <row r="141" ht="13.5" customHeight="1">
      <c r="A141" s="63"/>
      <c r="B141" s="64"/>
      <c r="C141" s="109"/>
      <c r="D141" s="122" t="s">
        <v>27</v>
      </c>
      <c r="E141" s="77"/>
      <c r="F141" s="77"/>
      <c r="G141" s="84"/>
      <c r="H141" s="79"/>
      <c r="I141" s="122" t="s">
        <v>27</v>
      </c>
      <c r="J141" s="77"/>
      <c r="K141" s="77"/>
      <c r="L141" s="84"/>
      <c r="M141" s="43"/>
      <c r="N141" s="43">
        <f t="shared" ref="N141:P141" si="55">E139+E141+J139+J141</f>
        <v>0</v>
      </c>
      <c r="O141" s="43">
        <f t="shared" si="55"/>
        <v>0</v>
      </c>
      <c r="P141" s="43">
        <f t="shared" si="55"/>
        <v>0</v>
      </c>
      <c r="Q141" s="43"/>
      <c r="R141" s="43"/>
    </row>
    <row r="142" ht="13.5" customHeight="1">
      <c r="A142" s="43"/>
      <c r="B142" s="65"/>
      <c r="C142" s="79"/>
      <c r="D142" s="86" t="str">
        <f>'管理シフト'!J132</f>
        <v/>
      </c>
      <c r="E142" s="88"/>
      <c r="F142" s="88"/>
      <c r="G142" s="79"/>
      <c r="H142" s="79"/>
      <c r="I142" s="86"/>
      <c r="J142" s="87">
        <f t="shared" ref="J142:K142" si="56">E138+E140+J138+J140</f>
        <v>0</v>
      </c>
      <c r="K142" s="87">
        <f t="shared" si="56"/>
        <v>0</v>
      </c>
      <c r="L142" s="87">
        <f>SUM(G138+G140+L138+L140+Q138+Q140)</f>
        <v>0</v>
      </c>
      <c r="M142" s="43"/>
      <c r="N142" s="43"/>
      <c r="O142" s="43"/>
      <c r="P142" s="43"/>
      <c r="Q142" s="43"/>
      <c r="R142" s="43"/>
    </row>
    <row r="143" ht="16.5" customHeight="1">
      <c r="A143" s="46">
        <v>29.0</v>
      </c>
      <c r="B143" s="89" t="str">
        <f>'【大井町】売上'!C32</f>
        <v/>
      </c>
      <c r="C143" s="118" t="s">
        <v>26</v>
      </c>
      <c r="D143" s="85" t="str">
        <f>'管理シフト'!P91</f>
        <v/>
      </c>
      <c r="E143" s="80"/>
      <c r="F143" s="81"/>
      <c r="G143" s="78">
        <f>E143-F143</f>
        <v>0</v>
      </c>
      <c r="H143" s="79"/>
      <c r="I143" s="85" t="str">
        <f>'管理シフト'!S91</f>
        <v/>
      </c>
      <c r="J143" s="80"/>
      <c r="K143" s="81"/>
      <c r="L143" s="78">
        <f>J143-K143</f>
        <v>0</v>
      </c>
      <c r="M143" s="43"/>
      <c r="N143" s="43"/>
      <c r="O143" s="43"/>
      <c r="P143" s="43"/>
      <c r="Q143" s="43"/>
      <c r="R143" s="43"/>
    </row>
    <row r="144" ht="13.5" customHeight="1">
      <c r="A144" s="55"/>
      <c r="B144" s="56"/>
      <c r="C144" s="109"/>
      <c r="D144" s="122" t="s">
        <v>27</v>
      </c>
      <c r="E144" s="77"/>
      <c r="F144" s="77"/>
      <c r="G144" s="84"/>
      <c r="H144" s="79"/>
      <c r="I144" s="122" t="s">
        <v>27</v>
      </c>
      <c r="J144" s="77"/>
      <c r="K144" s="77"/>
      <c r="L144" s="84"/>
      <c r="M144" s="43"/>
      <c r="N144" s="43"/>
      <c r="O144" s="43"/>
      <c r="P144" s="43"/>
      <c r="Q144" s="43"/>
      <c r="R144" s="43"/>
    </row>
    <row r="145" ht="16.5" customHeight="1">
      <c r="A145" s="55"/>
      <c r="B145" s="56"/>
      <c r="C145" s="118" t="s">
        <v>28</v>
      </c>
      <c r="D145" s="85" t="str">
        <f>'管理シフト'!P92</f>
        <v/>
      </c>
      <c r="E145" s="80"/>
      <c r="F145" s="81"/>
      <c r="G145" s="78">
        <f>E145-F145</f>
        <v>0</v>
      </c>
      <c r="H145" s="79"/>
      <c r="I145" s="124" t="str">
        <f>'管理シフト'!S92</f>
        <v/>
      </c>
      <c r="J145" s="80"/>
      <c r="K145" s="81"/>
      <c r="L145" s="78">
        <f>J145-K145</f>
        <v>0</v>
      </c>
      <c r="M145" s="43"/>
      <c r="N145" s="54" t="s">
        <v>13</v>
      </c>
      <c r="O145" s="54" t="s">
        <v>14</v>
      </c>
      <c r="P145" s="54" t="s">
        <v>15</v>
      </c>
    </row>
    <row r="146" ht="13.5" customHeight="1">
      <c r="A146" s="63"/>
      <c r="B146" s="64"/>
      <c r="C146" s="109"/>
      <c r="D146" s="122" t="s">
        <v>27</v>
      </c>
      <c r="E146" s="77"/>
      <c r="F146" s="77"/>
      <c r="G146" s="84"/>
      <c r="H146" s="79"/>
      <c r="I146" s="122" t="s">
        <v>27</v>
      </c>
      <c r="J146" s="77"/>
      <c r="K146" s="77"/>
      <c r="L146" s="84"/>
      <c r="M146" s="43"/>
      <c r="N146" s="34">
        <f t="shared" ref="N146:P146" si="57">E144+E146+J144+J146</f>
        <v>0</v>
      </c>
      <c r="O146" s="34">
        <f t="shared" si="57"/>
        <v>0</v>
      </c>
      <c r="P146" s="34">
        <f t="shared" si="57"/>
        <v>0</v>
      </c>
    </row>
    <row r="147" ht="13.5" customHeight="1">
      <c r="A147" s="43"/>
      <c r="B147" s="65"/>
      <c r="C147" s="79"/>
      <c r="D147" s="86"/>
      <c r="E147" s="88"/>
      <c r="F147" s="88"/>
      <c r="G147" s="79"/>
      <c r="H147" s="79"/>
      <c r="I147" s="86"/>
      <c r="J147" s="87">
        <f t="shared" ref="J147:K147" si="58">E143+E145+J143+J145</f>
        <v>0</v>
      </c>
      <c r="K147" s="87">
        <f t="shared" si="58"/>
        <v>0</v>
      </c>
      <c r="L147" s="87">
        <f>SUM(G143+G145+L143+L145+Q143+Q145)</f>
        <v>0</v>
      </c>
      <c r="M147" s="43"/>
    </row>
    <row r="148" ht="16.5" customHeight="1">
      <c r="A148" s="46">
        <v>30.0</v>
      </c>
      <c r="B148" s="89" t="str">
        <f>'【大井町】売上'!C33</f>
        <v/>
      </c>
      <c r="C148" s="118" t="s">
        <v>26</v>
      </c>
      <c r="D148" s="85" t="str">
        <f>'管理シフト'!P94</f>
        <v/>
      </c>
      <c r="E148" s="80"/>
      <c r="F148" s="81"/>
      <c r="G148" s="78">
        <f>E148-F148</f>
        <v>0</v>
      </c>
      <c r="H148" s="79"/>
      <c r="I148" s="85" t="str">
        <f>'管理シフト'!S94</f>
        <v/>
      </c>
      <c r="J148" s="80"/>
      <c r="K148" s="81"/>
      <c r="L148" s="78">
        <f>J148-K148</f>
        <v>0</v>
      </c>
      <c r="M148" s="43"/>
    </row>
    <row r="149" ht="13.5" customHeight="1">
      <c r="A149" s="55"/>
      <c r="B149" s="56"/>
      <c r="C149" s="109"/>
      <c r="D149" s="122" t="s">
        <v>27</v>
      </c>
      <c r="E149" s="77"/>
      <c r="F149" s="77"/>
      <c r="G149" s="84"/>
      <c r="H149" s="79"/>
      <c r="I149" s="122" t="s">
        <v>27</v>
      </c>
      <c r="J149" s="77"/>
      <c r="K149" s="77"/>
      <c r="L149" s="84"/>
      <c r="M149" s="43"/>
    </row>
    <row r="150" ht="16.5" customHeight="1">
      <c r="A150" s="55"/>
      <c r="B150" s="56"/>
      <c r="C150" s="118" t="s">
        <v>28</v>
      </c>
      <c r="D150" s="85" t="str">
        <f>'管理シフト'!P95</f>
        <v/>
      </c>
      <c r="E150" s="80"/>
      <c r="F150" s="81"/>
      <c r="G150" s="78">
        <f>E150-F150</f>
        <v>0</v>
      </c>
      <c r="H150" s="79"/>
      <c r="I150" s="85" t="str">
        <f>'管理シフト'!S95</f>
        <v/>
      </c>
      <c r="J150" s="80"/>
      <c r="K150" s="81"/>
      <c r="L150" s="78">
        <f>J150-K150</f>
        <v>0</v>
      </c>
      <c r="M150" s="43"/>
      <c r="N150" s="54" t="s">
        <v>13</v>
      </c>
      <c r="O150" s="54" t="s">
        <v>14</v>
      </c>
      <c r="P150" s="54" t="s">
        <v>15</v>
      </c>
    </row>
    <row r="151" ht="13.5" customHeight="1">
      <c r="A151" s="63"/>
      <c r="B151" s="64"/>
      <c r="C151" s="109"/>
      <c r="D151" s="122" t="s">
        <v>27</v>
      </c>
      <c r="E151" s="77"/>
      <c r="F151" s="77"/>
      <c r="G151" s="84"/>
      <c r="H151" s="79"/>
      <c r="I151" s="122" t="s">
        <v>27</v>
      </c>
      <c r="J151" s="77"/>
      <c r="K151" s="77"/>
      <c r="L151" s="84"/>
      <c r="M151" s="43"/>
      <c r="N151" s="34">
        <f t="shared" ref="N151:P151" si="59">E149+E151+J149+J151</f>
        <v>0</v>
      </c>
      <c r="O151" s="34">
        <f t="shared" si="59"/>
        <v>0</v>
      </c>
      <c r="P151" s="34">
        <f t="shared" si="59"/>
        <v>0</v>
      </c>
    </row>
    <row r="152" ht="13.5" customHeight="1">
      <c r="A152" s="43"/>
      <c r="B152" s="65"/>
      <c r="C152" s="79"/>
      <c r="D152" s="86" t="str">
        <f>'管理シフト'!J143</f>
        <v/>
      </c>
      <c r="E152" s="88"/>
      <c r="F152" s="88"/>
      <c r="G152" s="79"/>
      <c r="H152" s="79"/>
      <c r="I152" s="86"/>
      <c r="J152" s="87">
        <f t="shared" ref="J152:K152" si="60">E148+E150+J148+J150</f>
        <v>0</v>
      </c>
      <c r="K152" s="87">
        <f t="shared" si="60"/>
        <v>0</v>
      </c>
      <c r="L152" s="87">
        <f>SUM(G148+G150+L148+L150+Q148+Q150)</f>
        <v>0</v>
      </c>
      <c r="M152" s="43"/>
    </row>
    <row r="153" ht="16.5" customHeight="1">
      <c r="A153" s="46">
        <v>31.0</v>
      </c>
      <c r="B153" s="89" t="str">
        <f>'【大井町】売上'!C34</f>
        <v/>
      </c>
      <c r="C153" s="118" t="s">
        <v>26</v>
      </c>
      <c r="D153" s="85" t="str">
        <f>'管理シフト'!P97</f>
        <v/>
      </c>
      <c r="E153" s="80"/>
      <c r="F153" s="81"/>
      <c r="G153" s="78">
        <f>E153-F153</f>
        <v>0</v>
      </c>
      <c r="H153" s="79"/>
      <c r="I153" s="85" t="str">
        <f>'管理シフト'!S97</f>
        <v/>
      </c>
      <c r="J153" s="80"/>
      <c r="K153" s="81"/>
      <c r="L153" s="78">
        <f>J153-K153</f>
        <v>0</v>
      </c>
      <c r="M153" s="43"/>
    </row>
    <row r="154" ht="13.5" customHeight="1">
      <c r="A154" s="55"/>
      <c r="B154" s="56"/>
      <c r="C154" s="109"/>
      <c r="D154" s="122" t="s">
        <v>27</v>
      </c>
      <c r="E154" s="77"/>
      <c r="F154" s="77"/>
      <c r="G154" s="84"/>
      <c r="H154" s="79"/>
      <c r="I154" s="122" t="s">
        <v>27</v>
      </c>
      <c r="J154" s="77"/>
      <c r="K154" s="77"/>
      <c r="L154" s="84"/>
      <c r="M154" s="43"/>
    </row>
    <row r="155" ht="16.5" customHeight="1">
      <c r="A155" s="55"/>
      <c r="B155" s="56"/>
      <c r="C155" s="118" t="s">
        <v>28</v>
      </c>
      <c r="D155" s="85" t="str">
        <f>'管理シフト'!P98</f>
        <v/>
      </c>
      <c r="E155" s="80"/>
      <c r="F155" s="81"/>
      <c r="G155" s="78">
        <f>E155-F155</f>
        <v>0</v>
      </c>
      <c r="H155" s="79"/>
      <c r="I155" s="85" t="str">
        <f>'管理シフト'!S98</f>
        <v/>
      </c>
      <c r="J155" s="80"/>
      <c r="K155" s="81"/>
      <c r="L155" s="78">
        <f>J155-K155</f>
        <v>0</v>
      </c>
      <c r="M155" s="43"/>
      <c r="N155" s="54" t="s">
        <v>13</v>
      </c>
      <c r="O155" s="54" t="s">
        <v>14</v>
      </c>
      <c r="P155" s="54" t="s">
        <v>15</v>
      </c>
    </row>
    <row r="156" ht="13.5" customHeight="1">
      <c r="A156" s="63"/>
      <c r="B156" s="64"/>
      <c r="C156" s="109"/>
      <c r="D156" s="122" t="s">
        <v>27</v>
      </c>
      <c r="E156" s="77"/>
      <c r="F156" s="77"/>
      <c r="G156" s="84"/>
      <c r="H156" s="79"/>
      <c r="I156" s="122" t="s">
        <v>27</v>
      </c>
      <c r="J156" s="77"/>
      <c r="K156" s="77"/>
      <c r="L156" s="84"/>
      <c r="M156" s="43"/>
      <c r="N156" s="34">
        <f t="shared" ref="N156:P156" si="61">E154+E156+J154+J156</f>
        <v>0</v>
      </c>
      <c r="O156" s="34">
        <f t="shared" si="61"/>
        <v>0</v>
      </c>
      <c r="P156" s="34">
        <f t="shared" si="61"/>
        <v>0</v>
      </c>
    </row>
    <row r="157" ht="13.5" customHeight="1">
      <c r="A157" s="43"/>
      <c r="B157" s="43"/>
      <c r="C157" s="43"/>
      <c r="D157" s="54"/>
      <c r="E157" s="54"/>
      <c r="F157" s="54"/>
      <c r="G157" s="54"/>
      <c r="H157" s="54"/>
      <c r="I157" s="91"/>
      <c r="J157" s="87">
        <f t="shared" ref="J157:K157" si="62">SUM(E153+E155+J153+J155)</f>
        <v>0</v>
      </c>
      <c r="K157" s="87">
        <f t="shared" si="62"/>
        <v>0</v>
      </c>
      <c r="L157" s="87">
        <f>SUM(G153+G155+L153+L155+Q153+Q155)</f>
        <v>0</v>
      </c>
      <c r="M157" s="43"/>
    </row>
    <row r="158" ht="13.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 ht="13.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 ht="13.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 ht="13.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 ht="13.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 ht="13.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 ht="13.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 ht="13.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 ht="13.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 ht="13.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 ht="13.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</row>
    <row r="169" ht="13.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</row>
    <row r="170" ht="13.5" customHeight="1">
      <c r="C170" s="43"/>
      <c r="D170" s="43"/>
      <c r="E170" s="43"/>
      <c r="F170" s="43"/>
      <c r="G170" s="43"/>
      <c r="H170" s="43"/>
      <c r="I170" s="43"/>
      <c r="J170" s="43"/>
      <c r="K170" s="43"/>
      <c r="L170" s="43"/>
    </row>
    <row r="171" ht="13.5" customHeight="1">
      <c r="C171" s="43"/>
      <c r="D171" s="43"/>
      <c r="E171" s="43"/>
      <c r="F171" s="43"/>
      <c r="G171" s="43"/>
      <c r="H171" s="43"/>
      <c r="I171" s="43"/>
      <c r="J171" s="43"/>
      <c r="K171" s="43"/>
      <c r="L171" s="43"/>
    </row>
    <row r="172" ht="13.5" customHeight="1">
      <c r="C172" s="43"/>
      <c r="D172" s="43"/>
      <c r="E172" s="43"/>
      <c r="F172" s="43"/>
      <c r="G172" s="43"/>
      <c r="H172" s="43"/>
      <c r="I172" s="43"/>
      <c r="J172" s="43"/>
      <c r="K172" s="43"/>
      <c r="L172" s="43"/>
    </row>
    <row r="173" ht="13.5" customHeight="1">
      <c r="C173" s="43"/>
      <c r="D173" s="43"/>
      <c r="E173" s="43"/>
      <c r="F173" s="43"/>
      <c r="G173" s="43"/>
      <c r="H173" s="43"/>
      <c r="I173" s="43"/>
      <c r="J173" s="43"/>
      <c r="K173" s="43"/>
      <c r="L173" s="43"/>
    </row>
    <row r="174" ht="13.5" customHeight="1">
      <c r="C174" s="43"/>
      <c r="D174" s="43"/>
      <c r="E174" s="43"/>
      <c r="F174" s="43"/>
      <c r="G174" s="43"/>
      <c r="H174" s="43"/>
      <c r="I174" s="43"/>
      <c r="J174" s="43"/>
      <c r="K174" s="43"/>
      <c r="L174" s="43"/>
    </row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6">
    <mergeCell ref="A38:A41"/>
    <mergeCell ref="B38:B41"/>
    <mergeCell ref="A43:A46"/>
    <mergeCell ref="B43:B46"/>
    <mergeCell ref="A48:A51"/>
    <mergeCell ref="B48:B51"/>
    <mergeCell ref="B53:B56"/>
    <mergeCell ref="A53:A56"/>
    <mergeCell ref="A58:A61"/>
    <mergeCell ref="B58:B61"/>
    <mergeCell ref="A63:A66"/>
    <mergeCell ref="B63:B66"/>
    <mergeCell ref="A68:A71"/>
    <mergeCell ref="B68:B71"/>
    <mergeCell ref="A78:A81"/>
    <mergeCell ref="B78:B81"/>
    <mergeCell ref="A83:A86"/>
    <mergeCell ref="B83:B86"/>
    <mergeCell ref="A88:A91"/>
    <mergeCell ref="B88:B91"/>
    <mergeCell ref="B93:B96"/>
    <mergeCell ref="A93:A96"/>
    <mergeCell ref="A98:A101"/>
    <mergeCell ref="B98:B101"/>
    <mergeCell ref="A103:A106"/>
    <mergeCell ref="B103:B106"/>
    <mergeCell ref="A108:A111"/>
    <mergeCell ref="B108:B111"/>
    <mergeCell ref="A113:A116"/>
    <mergeCell ref="B113:B116"/>
    <mergeCell ref="A118:A121"/>
    <mergeCell ref="B118:B121"/>
    <mergeCell ref="A123:A126"/>
    <mergeCell ref="B123:B126"/>
    <mergeCell ref="B128:B131"/>
    <mergeCell ref="A148:A151"/>
    <mergeCell ref="B148:B151"/>
    <mergeCell ref="A153:A156"/>
    <mergeCell ref="B153:B156"/>
    <mergeCell ref="A128:A131"/>
    <mergeCell ref="A133:A136"/>
    <mergeCell ref="B133:B136"/>
    <mergeCell ref="A138:A141"/>
    <mergeCell ref="B138:B141"/>
    <mergeCell ref="A143:A146"/>
    <mergeCell ref="B143:B146"/>
    <mergeCell ref="C53:C54"/>
    <mergeCell ref="C55:C56"/>
    <mergeCell ref="C58:C59"/>
    <mergeCell ref="C60:C61"/>
    <mergeCell ref="C63:C64"/>
    <mergeCell ref="C65:C66"/>
    <mergeCell ref="C68:C69"/>
    <mergeCell ref="C70:C71"/>
    <mergeCell ref="C73:C74"/>
    <mergeCell ref="C75:C76"/>
    <mergeCell ref="C78:C79"/>
    <mergeCell ref="C80:C81"/>
    <mergeCell ref="C83:C84"/>
    <mergeCell ref="C85:C86"/>
    <mergeCell ref="C93:C94"/>
    <mergeCell ref="C95:C96"/>
    <mergeCell ref="C98:C99"/>
    <mergeCell ref="C100:C101"/>
    <mergeCell ref="C103:C104"/>
    <mergeCell ref="C105:C106"/>
    <mergeCell ref="C108:C109"/>
    <mergeCell ref="C110:C111"/>
    <mergeCell ref="C113:C114"/>
    <mergeCell ref="C115:C116"/>
    <mergeCell ref="C118:C119"/>
    <mergeCell ref="C120:C121"/>
    <mergeCell ref="C123:C124"/>
    <mergeCell ref="C125:C126"/>
    <mergeCell ref="C145:C146"/>
    <mergeCell ref="C148:C149"/>
    <mergeCell ref="C150:C151"/>
    <mergeCell ref="C153:C154"/>
    <mergeCell ref="C155:C156"/>
    <mergeCell ref="C128:C129"/>
    <mergeCell ref="C130:C131"/>
    <mergeCell ref="C133:C134"/>
    <mergeCell ref="C135:C136"/>
    <mergeCell ref="C138:C139"/>
    <mergeCell ref="C140:C141"/>
    <mergeCell ref="C143:C144"/>
    <mergeCell ref="D1:E1"/>
    <mergeCell ref="H1:I1"/>
    <mergeCell ref="A3:A6"/>
    <mergeCell ref="B3:B6"/>
    <mergeCell ref="C3:C4"/>
    <mergeCell ref="A8:A11"/>
    <mergeCell ref="B8:B11"/>
    <mergeCell ref="C10:C11"/>
    <mergeCell ref="C5:C6"/>
    <mergeCell ref="C8:C9"/>
    <mergeCell ref="A13:A16"/>
    <mergeCell ref="B13:B16"/>
    <mergeCell ref="C13:C14"/>
    <mergeCell ref="B18:B21"/>
    <mergeCell ref="C20:C21"/>
    <mergeCell ref="A18:A21"/>
    <mergeCell ref="A23:A26"/>
    <mergeCell ref="B23:B26"/>
    <mergeCell ref="A28:A31"/>
    <mergeCell ref="B28:B31"/>
    <mergeCell ref="A33:A36"/>
    <mergeCell ref="B33:B36"/>
    <mergeCell ref="C15:C16"/>
    <mergeCell ref="C18:C19"/>
    <mergeCell ref="C23:C24"/>
    <mergeCell ref="C25:C26"/>
    <mergeCell ref="C28:C29"/>
    <mergeCell ref="C30:C31"/>
    <mergeCell ref="C33:C34"/>
    <mergeCell ref="C35:C36"/>
    <mergeCell ref="C38:C39"/>
    <mergeCell ref="C40:C41"/>
    <mergeCell ref="C43:C44"/>
    <mergeCell ref="C45:C46"/>
    <mergeCell ref="C48:C49"/>
    <mergeCell ref="C50:C51"/>
    <mergeCell ref="A73:A76"/>
    <mergeCell ref="B73:B76"/>
    <mergeCell ref="C88:C89"/>
    <mergeCell ref="C90:C9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29"/>
    <col customWidth="1" min="2" max="2" width="7.29"/>
    <col customWidth="1" min="3" max="3" width="8.71"/>
    <col customWidth="1" min="6" max="6" width="4.29"/>
    <col customWidth="1" min="9" max="9" width="3.86"/>
    <col customWidth="1" min="12" max="12" width="4.29"/>
    <col customWidth="1" min="15" max="15" width="5.43"/>
    <col customWidth="1" min="18" max="18" width="4.86"/>
    <col customWidth="1" min="19" max="20" width="13.0"/>
    <col customWidth="1" min="21" max="21" width="4.86"/>
  </cols>
  <sheetData>
    <row r="1">
      <c r="A1" s="132"/>
      <c r="B1" s="133"/>
      <c r="C1" s="133"/>
      <c r="D1" s="134"/>
      <c r="E1" s="134"/>
      <c r="F1" s="134"/>
      <c r="G1" s="135" t="s">
        <v>35</v>
      </c>
      <c r="I1" s="136"/>
      <c r="J1" s="137" t="s">
        <v>36</v>
      </c>
    </row>
    <row r="2" ht="24.0" customHeight="1">
      <c r="A2" s="138" t="s">
        <v>37</v>
      </c>
      <c r="B2" s="139" t="s">
        <v>1</v>
      </c>
      <c r="C2" s="139" t="s">
        <v>38</v>
      </c>
      <c r="D2" s="140" t="s">
        <v>39</v>
      </c>
      <c r="E2" s="129"/>
      <c r="F2" s="141"/>
      <c r="G2" s="140" t="s">
        <v>40</v>
      </c>
      <c r="H2" s="129"/>
      <c r="I2" s="141"/>
      <c r="J2" s="142" t="s">
        <v>41</v>
      </c>
      <c r="K2" s="129"/>
      <c r="L2" s="141"/>
      <c r="M2" s="142" t="s">
        <v>42</v>
      </c>
      <c r="N2" s="129"/>
      <c r="O2" s="141"/>
      <c r="P2" s="143" t="s">
        <v>34</v>
      </c>
      <c r="Q2" s="129"/>
      <c r="R2" s="128"/>
      <c r="S2" s="143" t="s">
        <v>43</v>
      </c>
      <c r="U2" s="128"/>
    </row>
    <row r="3" ht="1.5" customHeight="1">
      <c r="A3" s="144" t="s">
        <v>44</v>
      </c>
      <c r="B3" s="145" t="s">
        <v>17</v>
      </c>
      <c r="C3" s="146" t="s">
        <v>26</v>
      </c>
      <c r="D3" s="147"/>
      <c r="E3" s="147"/>
      <c r="F3" s="148"/>
      <c r="G3" s="149"/>
      <c r="H3" s="149"/>
      <c r="I3" s="150"/>
      <c r="J3" s="151"/>
      <c r="K3" s="149"/>
      <c r="L3" s="148"/>
      <c r="M3" s="152"/>
      <c r="N3" s="152"/>
      <c r="O3" s="148"/>
      <c r="P3" s="152"/>
      <c r="Q3" s="152"/>
      <c r="R3" s="153"/>
      <c r="S3" s="153"/>
      <c r="T3" s="153"/>
      <c r="U3" s="153"/>
    </row>
    <row r="4" ht="1.5" customHeight="1">
      <c r="A4" s="154"/>
      <c r="B4" s="155"/>
      <c r="C4" s="146" t="s">
        <v>28</v>
      </c>
      <c r="D4" s="147"/>
      <c r="E4" s="147"/>
      <c r="F4" s="148"/>
      <c r="G4" s="147"/>
      <c r="H4" s="147"/>
      <c r="I4" s="150"/>
      <c r="J4" s="147"/>
      <c r="K4" s="147"/>
      <c r="L4" s="148"/>
      <c r="M4" s="152"/>
      <c r="N4" s="152"/>
      <c r="O4" s="148"/>
      <c r="P4" s="152"/>
      <c r="Q4" s="152"/>
      <c r="R4" s="153"/>
      <c r="S4" s="153"/>
      <c r="T4" s="153"/>
      <c r="U4" s="153"/>
    </row>
    <row r="5" ht="15.0" customHeight="1">
      <c r="A5" s="156"/>
      <c r="B5" s="157"/>
      <c r="C5" s="158"/>
      <c r="D5" s="159"/>
      <c r="E5" s="159"/>
      <c r="F5" s="160"/>
      <c r="G5" s="159"/>
      <c r="H5" s="159"/>
      <c r="I5" s="160"/>
      <c r="J5" s="159"/>
      <c r="K5" s="159"/>
      <c r="L5" s="160"/>
      <c r="M5" s="159"/>
      <c r="N5" s="159"/>
      <c r="O5" s="160"/>
      <c r="P5" s="159"/>
      <c r="Q5" s="159"/>
      <c r="R5" s="160"/>
      <c r="S5" s="159"/>
      <c r="T5" s="159"/>
      <c r="U5" s="158"/>
    </row>
    <row r="6" ht="15.0" customHeight="1">
      <c r="A6" s="161">
        <v>1.0</v>
      </c>
      <c r="B6" s="162" t="s">
        <v>16</v>
      </c>
      <c r="C6" s="163" t="s">
        <v>26</v>
      </c>
      <c r="D6" s="164" t="s">
        <v>45</v>
      </c>
      <c r="E6" s="165" t="s">
        <v>46</v>
      </c>
      <c r="F6" s="166"/>
      <c r="G6" s="165" t="s">
        <v>47</v>
      </c>
      <c r="H6" s="165" t="s">
        <v>48</v>
      </c>
      <c r="I6" s="166"/>
      <c r="J6" s="165" t="s">
        <v>49</v>
      </c>
      <c r="K6" s="165" t="s">
        <v>46</v>
      </c>
      <c r="L6" s="166"/>
      <c r="M6" s="165" t="s">
        <v>50</v>
      </c>
      <c r="N6" s="165" t="s">
        <v>51</v>
      </c>
      <c r="O6" s="166"/>
      <c r="P6" s="167"/>
      <c r="Q6" s="167"/>
      <c r="R6" s="166"/>
      <c r="S6" s="165" t="s">
        <v>52</v>
      </c>
      <c r="T6" s="165" t="s">
        <v>53</v>
      </c>
      <c r="U6" s="168"/>
    </row>
    <row r="7" ht="15.0" customHeight="1">
      <c r="A7" s="169"/>
      <c r="B7" s="154"/>
      <c r="C7" s="163" t="s">
        <v>28</v>
      </c>
      <c r="D7" s="170" t="s">
        <v>54</v>
      </c>
      <c r="E7" s="171" t="s">
        <v>55</v>
      </c>
      <c r="F7" s="172"/>
      <c r="G7" s="171" t="s">
        <v>56</v>
      </c>
      <c r="H7" s="171" t="s">
        <v>57</v>
      </c>
      <c r="I7" s="172"/>
      <c r="J7" s="171" t="s">
        <v>58</v>
      </c>
      <c r="K7" s="171" t="s">
        <v>55</v>
      </c>
      <c r="L7" s="172"/>
      <c r="M7" s="149"/>
      <c r="N7" s="149"/>
      <c r="O7" s="172"/>
      <c r="P7" s="149"/>
      <c r="Q7" s="149"/>
      <c r="R7" s="172"/>
      <c r="S7" s="171" t="s">
        <v>59</v>
      </c>
      <c r="T7" s="149"/>
      <c r="U7" s="168"/>
    </row>
    <row r="8" ht="15.0" customHeight="1">
      <c r="A8" s="173"/>
      <c r="B8" s="174"/>
      <c r="C8" s="175"/>
      <c r="D8" s="176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68"/>
    </row>
    <row r="9" ht="15.0" customHeight="1">
      <c r="A9" s="178">
        <v>2.0</v>
      </c>
      <c r="B9" s="162" t="s">
        <v>17</v>
      </c>
      <c r="C9" s="163" t="s">
        <v>26</v>
      </c>
      <c r="D9" s="170" t="s">
        <v>60</v>
      </c>
      <c r="E9" s="171" t="s">
        <v>46</v>
      </c>
      <c r="F9" s="172"/>
      <c r="G9" s="179" t="s">
        <v>61</v>
      </c>
      <c r="H9" s="179" t="s">
        <v>62</v>
      </c>
      <c r="I9" s="172"/>
      <c r="J9" s="149"/>
      <c r="K9" s="149"/>
      <c r="L9" s="172"/>
      <c r="M9" s="171" t="s">
        <v>63</v>
      </c>
      <c r="N9" s="171" t="s">
        <v>64</v>
      </c>
      <c r="O9" s="172"/>
      <c r="P9" s="149"/>
      <c r="Q9" s="149"/>
      <c r="R9" s="172"/>
      <c r="S9" s="171" t="s">
        <v>65</v>
      </c>
      <c r="T9" s="149"/>
      <c r="U9" s="168"/>
    </row>
    <row r="10" ht="15.0" customHeight="1">
      <c r="A10" s="154"/>
      <c r="B10" s="154"/>
      <c r="C10" s="163" t="s">
        <v>28</v>
      </c>
      <c r="D10" s="180" t="s">
        <v>45</v>
      </c>
      <c r="E10" s="171" t="s">
        <v>55</v>
      </c>
      <c r="F10" s="172"/>
      <c r="G10" s="171" t="s">
        <v>66</v>
      </c>
      <c r="H10" s="171" t="s">
        <v>55</v>
      </c>
      <c r="I10" s="172"/>
      <c r="J10" s="147" t="s">
        <v>54</v>
      </c>
      <c r="K10" s="147" t="s">
        <v>67</v>
      </c>
      <c r="L10" s="172"/>
      <c r="M10" s="171" t="s">
        <v>68</v>
      </c>
      <c r="N10" s="147" t="s">
        <v>69</v>
      </c>
      <c r="O10" s="172"/>
      <c r="P10" s="149"/>
      <c r="Q10" s="149"/>
      <c r="R10" s="172"/>
      <c r="S10" s="149"/>
      <c r="T10" s="149"/>
      <c r="U10" s="168"/>
    </row>
    <row r="11" ht="15.0" customHeight="1">
      <c r="A11" s="174"/>
      <c r="B11" s="174"/>
      <c r="C11" s="175"/>
      <c r="D11" s="176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68"/>
    </row>
    <row r="12" ht="15.0" customHeight="1">
      <c r="A12" s="181">
        <v>3.0</v>
      </c>
      <c r="B12" s="162" t="s">
        <v>18</v>
      </c>
      <c r="C12" s="163" t="s">
        <v>26</v>
      </c>
      <c r="D12" s="182"/>
      <c r="E12" s="149"/>
      <c r="F12" s="172"/>
      <c r="G12" s="171" t="s">
        <v>70</v>
      </c>
      <c r="H12" s="147" t="s">
        <v>71</v>
      </c>
      <c r="I12" s="172"/>
      <c r="J12" s="171" t="s">
        <v>72</v>
      </c>
      <c r="K12" s="171" t="s">
        <v>48</v>
      </c>
      <c r="L12" s="172"/>
      <c r="M12" s="147" t="s">
        <v>52</v>
      </c>
      <c r="N12" s="147" t="s">
        <v>51</v>
      </c>
      <c r="O12" s="172"/>
      <c r="P12" s="171" t="s">
        <v>60</v>
      </c>
      <c r="Q12" s="171" t="s">
        <v>46</v>
      </c>
      <c r="R12" s="172"/>
      <c r="S12" s="183"/>
      <c r="T12" s="149"/>
      <c r="U12" s="168"/>
    </row>
    <row r="13" ht="15.0" customHeight="1">
      <c r="A13" s="154"/>
      <c r="B13" s="154"/>
      <c r="C13" s="163" t="s">
        <v>28</v>
      </c>
      <c r="D13" s="170" t="s">
        <v>73</v>
      </c>
      <c r="E13" s="171" t="s">
        <v>74</v>
      </c>
      <c r="F13" s="172"/>
      <c r="G13" s="149"/>
      <c r="H13" s="149"/>
      <c r="I13" s="172"/>
      <c r="J13" s="147" t="s">
        <v>66</v>
      </c>
      <c r="K13" s="147" t="s">
        <v>55</v>
      </c>
      <c r="L13" s="172"/>
      <c r="M13" s="149"/>
      <c r="N13" s="149"/>
      <c r="O13" s="172"/>
      <c r="P13" s="184" t="s">
        <v>75</v>
      </c>
      <c r="Q13" s="149"/>
      <c r="R13" s="172"/>
      <c r="S13" s="179" t="s">
        <v>76</v>
      </c>
      <c r="T13" s="185" t="s">
        <v>77</v>
      </c>
      <c r="U13" s="168"/>
    </row>
    <row r="14" ht="15.0" customHeight="1">
      <c r="A14" s="174"/>
      <c r="B14" s="174"/>
      <c r="C14" s="175"/>
      <c r="D14" s="176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68"/>
    </row>
    <row r="15" ht="15.0" customHeight="1">
      <c r="A15" s="181">
        <v>4.0</v>
      </c>
      <c r="B15" s="162" t="s">
        <v>19</v>
      </c>
      <c r="C15" s="163" t="s">
        <v>26</v>
      </c>
      <c r="D15" s="182"/>
      <c r="E15" s="149"/>
      <c r="F15" s="172"/>
      <c r="G15" s="147" t="s">
        <v>52</v>
      </c>
      <c r="H15" s="147" t="s">
        <v>53</v>
      </c>
      <c r="I15" s="172"/>
      <c r="J15" s="147" t="s">
        <v>60</v>
      </c>
      <c r="K15" s="171" t="s">
        <v>46</v>
      </c>
      <c r="L15" s="172"/>
      <c r="M15" s="186" t="s">
        <v>78</v>
      </c>
      <c r="N15" s="147" t="s">
        <v>79</v>
      </c>
      <c r="O15" s="172"/>
      <c r="P15" s="179" t="s">
        <v>50</v>
      </c>
      <c r="Q15" s="179" t="s">
        <v>80</v>
      </c>
      <c r="R15" s="172"/>
      <c r="S15" s="171" t="s">
        <v>81</v>
      </c>
      <c r="T15" s="149"/>
      <c r="U15" s="168"/>
    </row>
    <row r="16" ht="15.0" customHeight="1">
      <c r="A16" s="154"/>
      <c r="B16" s="154"/>
      <c r="C16" s="163" t="s">
        <v>28</v>
      </c>
      <c r="D16" s="180" t="s">
        <v>82</v>
      </c>
      <c r="E16" s="171" t="s">
        <v>55</v>
      </c>
      <c r="F16" s="172"/>
      <c r="G16" s="147" t="s">
        <v>68</v>
      </c>
      <c r="H16" s="147" t="s">
        <v>69</v>
      </c>
      <c r="I16" s="172"/>
      <c r="J16" s="147" t="s">
        <v>45</v>
      </c>
      <c r="K16" s="171" t="s">
        <v>55</v>
      </c>
      <c r="L16" s="172"/>
      <c r="M16" s="149"/>
      <c r="N16" s="149"/>
      <c r="O16" s="172"/>
      <c r="P16" s="149"/>
      <c r="Q16" s="149"/>
      <c r="R16" s="172"/>
      <c r="S16" s="149"/>
      <c r="T16" s="149"/>
      <c r="U16" s="168"/>
    </row>
    <row r="17" ht="15.0" customHeight="1">
      <c r="A17" s="174"/>
      <c r="B17" s="174"/>
      <c r="C17" s="175"/>
      <c r="D17" s="187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88"/>
      <c r="T17" s="188"/>
      <c r="U17" s="158"/>
    </row>
    <row r="18" ht="15.0" customHeight="1">
      <c r="A18" s="181">
        <v>5.0</v>
      </c>
      <c r="B18" s="162" t="s">
        <v>20</v>
      </c>
      <c r="C18" s="163" t="s">
        <v>26</v>
      </c>
      <c r="D18" s="180" t="s">
        <v>72</v>
      </c>
      <c r="E18" s="147" t="s">
        <v>48</v>
      </c>
      <c r="F18" s="172"/>
      <c r="G18" s="149"/>
      <c r="H18" s="149"/>
      <c r="I18" s="172"/>
      <c r="J18" s="147" t="s">
        <v>52</v>
      </c>
      <c r="K18" s="184" t="s">
        <v>51</v>
      </c>
      <c r="L18" s="172"/>
      <c r="M18" s="186" t="s">
        <v>63</v>
      </c>
      <c r="N18" s="171" t="s">
        <v>64</v>
      </c>
      <c r="O18" s="172"/>
      <c r="P18" s="171" t="s">
        <v>83</v>
      </c>
      <c r="Q18" s="149"/>
      <c r="R18" s="172"/>
      <c r="S18" s="183"/>
      <c r="T18" s="149"/>
      <c r="U18" s="168"/>
    </row>
    <row r="19" ht="15.0" customHeight="1">
      <c r="A19" s="154"/>
      <c r="B19" s="154"/>
      <c r="C19" s="163" t="s">
        <v>28</v>
      </c>
      <c r="D19" s="180" t="s">
        <v>58</v>
      </c>
      <c r="E19" s="147" t="s">
        <v>84</v>
      </c>
      <c r="F19" s="172"/>
      <c r="G19" s="171" t="s">
        <v>54</v>
      </c>
      <c r="H19" s="147" t="s">
        <v>67</v>
      </c>
      <c r="I19" s="172"/>
      <c r="J19" s="149"/>
      <c r="K19" s="149"/>
      <c r="L19" s="172"/>
      <c r="M19" s="147" t="s">
        <v>61</v>
      </c>
      <c r="N19" s="147" t="s">
        <v>85</v>
      </c>
      <c r="O19" s="172"/>
      <c r="P19" s="147" t="s">
        <v>86</v>
      </c>
      <c r="Q19" s="147" t="s">
        <v>87</v>
      </c>
      <c r="R19" s="172"/>
      <c r="S19" s="149"/>
      <c r="T19" s="149"/>
      <c r="U19" s="168"/>
    </row>
    <row r="20" ht="15.0" customHeight="1">
      <c r="A20" s="174"/>
      <c r="B20" s="174"/>
      <c r="C20" s="175"/>
      <c r="D20" s="176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68"/>
    </row>
    <row r="21" ht="15.0" customHeight="1">
      <c r="A21" s="178">
        <v>6.0</v>
      </c>
      <c r="B21" s="162" t="s">
        <v>21</v>
      </c>
      <c r="C21" s="163" t="s">
        <v>26</v>
      </c>
      <c r="D21" s="182"/>
      <c r="E21" s="149"/>
      <c r="F21" s="172"/>
      <c r="G21" s="171" t="s">
        <v>88</v>
      </c>
      <c r="H21" s="171" t="s">
        <v>89</v>
      </c>
      <c r="I21" s="172"/>
      <c r="J21" s="171" t="s">
        <v>50</v>
      </c>
      <c r="K21" s="171" t="s">
        <v>53</v>
      </c>
      <c r="L21" s="172"/>
      <c r="M21" s="147" t="s">
        <v>63</v>
      </c>
      <c r="N21" s="171" t="s">
        <v>64</v>
      </c>
      <c r="O21" s="172"/>
      <c r="P21" s="149"/>
      <c r="Q21" s="149"/>
      <c r="R21" s="172"/>
      <c r="S21" s="183"/>
      <c r="T21" s="149"/>
      <c r="U21" s="168"/>
    </row>
    <row r="22" ht="15.0" customHeight="1">
      <c r="A22" s="154"/>
      <c r="B22" s="154"/>
      <c r="C22" s="163" t="s">
        <v>28</v>
      </c>
      <c r="D22" s="170" t="s">
        <v>86</v>
      </c>
      <c r="E22" s="147" t="s">
        <v>87</v>
      </c>
      <c r="F22" s="172"/>
      <c r="G22" s="147" t="s">
        <v>66</v>
      </c>
      <c r="H22" s="171" t="s">
        <v>55</v>
      </c>
      <c r="I22" s="172"/>
      <c r="J22" s="147" t="s">
        <v>68</v>
      </c>
      <c r="K22" s="147" t="s">
        <v>69</v>
      </c>
      <c r="L22" s="172"/>
      <c r="M22" s="171" t="s">
        <v>73</v>
      </c>
      <c r="N22" s="171" t="s">
        <v>90</v>
      </c>
      <c r="O22" s="172"/>
      <c r="P22" s="147" t="s">
        <v>76</v>
      </c>
      <c r="Q22" s="147" t="s">
        <v>91</v>
      </c>
      <c r="R22" s="172"/>
      <c r="S22" s="147" t="s">
        <v>92</v>
      </c>
      <c r="T22" s="147" t="s">
        <v>93</v>
      </c>
      <c r="U22" s="168"/>
    </row>
    <row r="23" ht="15.0" customHeight="1">
      <c r="A23" s="174"/>
      <c r="B23" s="174"/>
      <c r="C23" s="175"/>
      <c r="D23" s="176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68"/>
    </row>
    <row r="24" ht="15.0" customHeight="1">
      <c r="A24" s="178">
        <v>7.0</v>
      </c>
      <c r="B24" s="189" t="s">
        <v>22</v>
      </c>
      <c r="C24" s="163" t="s">
        <v>26</v>
      </c>
      <c r="D24" s="170" t="s">
        <v>60</v>
      </c>
      <c r="E24" s="171" t="s">
        <v>46</v>
      </c>
      <c r="F24" s="172"/>
      <c r="G24" s="147" t="s">
        <v>78</v>
      </c>
      <c r="H24" s="147" t="s">
        <v>79</v>
      </c>
      <c r="I24" s="172"/>
      <c r="J24" s="147" t="s">
        <v>52</v>
      </c>
      <c r="K24" s="147" t="s">
        <v>51</v>
      </c>
      <c r="L24" s="172"/>
      <c r="M24" s="171" t="s">
        <v>94</v>
      </c>
      <c r="N24" s="171" t="s">
        <v>95</v>
      </c>
      <c r="O24" s="172"/>
      <c r="P24" s="147" t="s">
        <v>50</v>
      </c>
      <c r="Q24" s="147" t="s">
        <v>96</v>
      </c>
      <c r="R24" s="172"/>
      <c r="S24" s="171" t="s">
        <v>61</v>
      </c>
      <c r="T24" s="171" t="s">
        <v>97</v>
      </c>
      <c r="U24" s="168"/>
    </row>
    <row r="25" ht="15.0" customHeight="1">
      <c r="A25" s="154"/>
      <c r="B25" s="154"/>
      <c r="C25" s="163" t="s">
        <v>28</v>
      </c>
      <c r="D25" s="190" t="s">
        <v>98</v>
      </c>
      <c r="E25" s="184" t="s">
        <v>99</v>
      </c>
      <c r="F25" s="172"/>
      <c r="G25" s="183"/>
      <c r="H25" s="183"/>
      <c r="I25" s="172"/>
      <c r="J25" s="149"/>
      <c r="K25" s="149"/>
      <c r="L25" s="172"/>
      <c r="M25" s="147" t="s">
        <v>82</v>
      </c>
      <c r="N25" s="171" t="s">
        <v>55</v>
      </c>
      <c r="O25" s="172"/>
      <c r="P25" s="149"/>
      <c r="Q25" s="149"/>
      <c r="R25" s="172"/>
      <c r="S25" s="147" t="s">
        <v>100</v>
      </c>
      <c r="T25" s="147" t="s">
        <v>87</v>
      </c>
      <c r="U25" s="168"/>
    </row>
    <row r="26" ht="15.0" customHeight="1">
      <c r="A26" s="174"/>
      <c r="B26" s="174"/>
      <c r="C26" s="175"/>
      <c r="D26" s="187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88"/>
      <c r="T26" s="172"/>
      <c r="U26" s="168"/>
    </row>
    <row r="27" ht="15.0" customHeight="1">
      <c r="A27" s="178">
        <v>8.0</v>
      </c>
      <c r="B27" s="162" t="s">
        <v>16</v>
      </c>
      <c r="C27" s="163" t="s">
        <v>26</v>
      </c>
      <c r="D27" s="182"/>
      <c r="E27" s="149"/>
      <c r="F27" s="172"/>
      <c r="G27" s="149"/>
      <c r="H27" s="149"/>
      <c r="I27" s="172"/>
      <c r="J27" s="149"/>
      <c r="K27" s="149"/>
      <c r="L27" s="172"/>
      <c r="M27" s="171" t="s">
        <v>70</v>
      </c>
      <c r="N27" s="147" t="s">
        <v>71</v>
      </c>
      <c r="O27" s="172"/>
      <c r="P27" s="149"/>
      <c r="Q27" s="149"/>
      <c r="R27" s="172"/>
      <c r="S27" s="186" t="s">
        <v>52</v>
      </c>
      <c r="T27" s="171" t="s">
        <v>53</v>
      </c>
      <c r="U27" s="168"/>
    </row>
    <row r="28" ht="15.0" customHeight="1">
      <c r="A28" s="154"/>
      <c r="B28" s="154"/>
      <c r="C28" s="163" t="s">
        <v>28</v>
      </c>
      <c r="D28" s="170" t="s">
        <v>58</v>
      </c>
      <c r="E28" s="171" t="s">
        <v>84</v>
      </c>
      <c r="F28" s="172"/>
      <c r="G28" s="186" t="s">
        <v>54</v>
      </c>
      <c r="H28" s="147" t="s">
        <v>67</v>
      </c>
      <c r="I28" s="172"/>
      <c r="J28" s="171" t="s">
        <v>98</v>
      </c>
      <c r="K28" s="171" t="s">
        <v>101</v>
      </c>
      <c r="L28" s="172"/>
      <c r="M28" s="149"/>
      <c r="N28" s="149"/>
      <c r="O28" s="172"/>
      <c r="P28" s="149"/>
      <c r="Q28" s="149"/>
      <c r="R28" s="172"/>
      <c r="S28" s="149"/>
      <c r="T28" s="149"/>
      <c r="U28" s="168"/>
    </row>
    <row r="29" ht="15.0" customHeight="1">
      <c r="A29" s="174"/>
      <c r="B29" s="174"/>
      <c r="C29" s="175"/>
      <c r="D29" s="176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58"/>
    </row>
    <row r="30" ht="15.0" customHeight="1">
      <c r="A30" s="178">
        <v>9.0</v>
      </c>
      <c r="B30" s="191" t="s">
        <v>17</v>
      </c>
      <c r="C30" s="163" t="s">
        <v>26</v>
      </c>
      <c r="D30" s="170" t="s">
        <v>70</v>
      </c>
      <c r="E30" s="147" t="s">
        <v>71</v>
      </c>
      <c r="F30" s="172"/>
      <c r="G30" s="192" t="s">
        <v>61</v>
      </c>
      <c r="H30" s="147" t="s">
        <v>79</v>
      </c>
      <c r="I30" s="172"/>
      <c r="J30" s="147" t="s">
        <v>60</v>
      </c>
      <c r="K30" s="171" t="s">
        <v>46</v>
      </c>
      <c r="L30" s="172"/>
      <c r="M30" s="171" t="s">
        <v>63</v>
      </c>
      <c r="N30" s="171" t="s">
        <v>64</v>
      </c>
      <c r="O30" s="172"/>
      <c r="P30" s="149"/>
      <c r="Q30" s="149"/>
      <c r="R30" s="172"/>
      <c r="S30" s="149"/>
      <c r="T30" s="149"/>
      <c r="U30" s="168"/>
    </row>
    <row r="31" ht="15.0" customHeight="1">
      <c r="A31" s="154"/>
      <c r="B31" s="154"/>
      <c r="C31" s="163" t="s">
        <v>28</v>
      </c>
      <c r="D31" s="180" t="s">
        <v>82</v>
      </c>
      <c r="E31" s="171" t="s">
        <v>55</v>
      </c>
      <c r="F31" s="172"/>
      <c r="G31" s="149"/>
      <c r="H31" s="149"/>
      <c r="I31" s="172"/>
      <c r="J31" s="179" t="s">
        <v>47</v>
      </c>
      <c r="K31" s="179" t="s">
        <v>102</v>
      </c>
      <c r="L31" s="172"/>
      <c r="M31" s="147" t="s">
        <v>54</v>
      </c>
      <c r="N31" s="147" t="s">
        <v>87</v>
      </c>
      <c r="O31" s="172"/>
      <c r="P31" s="183"/>
      <c r="Q31" s="149"/>
      <c r="R31" s="172"/>
      <c r="S31" s="183"/>
      <c r="T31" s="149"/>
      <c r="U31" s="168"/>
    </row>
    <row r="32" ht="15.0" customHeight="1">
      <c r="A32" s="174"/>
      <c r="B32" s="174"/>
      <c r="C32" s="175"/>
      <c r="D32" s="187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88"/>
      <c r="T32" s="172"/>
      <c r="U32" s="168"/>
    </row>
    <row r="33" ht="15.0" customHeight="1">
      <c r="A33" s="178">
        <v>10.0</v>
      </c>
      <c r="B33" s="189" t="s">
        <v>18</v>
      </c>
      <c r="C33" s="163" t="s">
        <v>26</v>
      </c>
      <c r="D33" s="180" t="s">
        <v>52</v>
      </c>
      <c r="E33" s="147" t="s">
        <v>51</v>
      </c>
      <c r="F33" s="172"/>
      <c r="G33" s="149"/>
      <c r="H33" s="149"/>
      <c r="I33" s="172"/>
      <c r="J33" s="147" t="s">
        <v>45</v>
      </c>
      <c r="K33" s="147" t="s">
        <v>46</v>
      </c>
      <c r="L33" s="172"/>
      <c r="M33" s="171" t="s">
        <v>70</v>
      </c>
      <c r="N33" s="147" t="s">
        <v>71</v>
      </c>
      <c r="O33" s="172"/>
      <c r="P33" s="171" t="s">
        <v>50</v>
      </c>
      <c r="Q33" s="147" t="s">
        <v>96</v>
      </c>
      <c r="R33" s="172"/>
      <c r="S33" s="149"/>
      <c r="T33" s="149"/>
      <c r="U33" s="168"/>
    </row>
    <row r="34" ht="15.0" customHeight="1">
      <c r="A34" s="154"/>
      <c r="B34" s="154"/>
      <c r="C34" s="163" t="s">
        <v>28</v>
      </c>
      <c r="D34" s="182"/>
      <c r="E34" s="149"/>
      <c r="F34" s="172"/>
      <c r="G34" s="171" t="s">
        <v>73</v>
      </c>
      <c r="H34" s="171" t="s">
        <v>74</v>
      </c>
      <c r="I34" s="172"/>
      <c r="J34" s="149"/>
      <c r="K34" s="149"/>
      <c r="L34" s="172"/>
      <c r="M34" s="147" t="s">
        <v>86</v>
      </c>
      <c r="N34" s="147" t="s">
        <v>87</v>
      </c>
      <c r="O34" s="172"/>
      <c r="P34" s="183"/>
      <c r="Q34" s="149"/>
      <c r="R34" s="172"/>
      <c r="S34" s="147" t="s">
        <v>61</v>
      </c>
      <c r="T34" s="147" t="s">
        <v>103</v>
      </c>
      <c r="U34" s="168"/>
    </row>
    <row r="35" ht="15.0" customHeight="1">
      <c r="A35" s="174"/>
      <c r="B35" s="174"/>
      <c r="C35" s="175"/>
      <c r="D35" s="159"/>
      <c r="E35" s="159"/>
      <c r="F35" s="160"/>
      <c r="G35" s="159"/>
      <c r="H35" s="159"/>
      <c r="I35" s="160"/>
      <c r="J35" s="159"/>
      <c r="K35" s="159"/>
      <c r="L35" s="160"/>
      <c r="M35" s="159"/>
      <c r="N35" s="159"/>
      <c r="O35" s="160"/>
      <c r="P35" s="159"/>
      <c r="Q35" s="159"/>
      <c r="R35" s="160"/>
      <c r="S35" s="159"/>
      <c r="T35" s="159"/>
      <c r="U35" s="158"/>
    </row>
    <row r="36" ht="15.0" customHeight="1">
      <c r="A36" s="178">
        <v>11.0</v>
      </c>
      <c r="B36" s="162" t="s">
        <v>19</v>
      </c>
      <c r="C36" s="163" t="s">
        <v>26</v>
      </c>
      <c r="D36" s="164"/>
      <c r="E36" s="164"/>
      <c r="F36" s="168"/>
      <c r="G36" s="193"/>
      <c r="H36" s="193"/>
      <c r="I36" s="168"/>
      <c r="J36" s="193"/>
      <c r="K36" s="193"/>
      <c r="L36" s="168"/>
      <c r="M36" s="193"/>
      <c r="N36" s="193"/>
      <c r="O36" s="168"/>
      <c r="P36" s="193"/>
      <c r="Q36" s="193"/>
      <c r="R36" s="168"/>
      <c r="S36" s="193"/>
      <c r="T36" s="193"/>
      <c r="U36" s="168"/>
    </row>
    <row r="37" ht="15.0" customHeight="1">
      <c r="A37" s="194"/>
      <c r="B37" s="154"/>
      <c r="C37" s="163" t="s">
        <v>28</v>
      </c>
      <c r="D37" s="193"/>
      <c r="E37" s="193"/>
      <c r="F37" s="168"/>
      <c r="G37" s="193"/>
      <c r="H37" s="193"/>
      <c r="I37" s="168"/>
      <c r="J37" s="193"/>
      <c r="K37" s="193"/>
      <c r="L37" s="168"/>
      <c r="M37" s="193"/>
      <c r="N37" s="193"/>
      <c r="O37" s="168"/>
      <c r="P37" s="193"/>
      <c r="Q37" s="193"/>
      <c r="R37" s="168"/>
      <c r="S37" s="193"/>
      <c r="T37" s="193"/>
      <c r="U37" s="168"/>
    </row>
    <row r="38" ht="15.0" customHeight="1">
      <c r="A38" s="174"/>
      <c r="B38" s="174"/>
      <c r="C38" s="175"/>
      <c r="D38" s="159"/>
      <c r="E38" s="159"/>
      <c r="F38" s="160"/>
      <c r="G38" s="159"/>
      <c r="H38" s="159"/>
      <c r="I38" s="160"/>
      <c r="J38" s="159"/>
      <c r="K38" s="159"/>
      <c r="L38" s="160"/>
      <c r="M38" s="159"/>
      <c r="N38" s="159"/>
      <c r="O38" s="160"/>
      <c r="P38" s="159"/>
      <c r="Q38" s="159"/>
      <c r="R38" s="160"/>
      <c r="S38" s="159"/>
      <c r="T38" s="159"/>
      <c r="U38" s="168"/>
    </row>
    <row r="39" ht="15.0" customHeight="1">
      <c r="A39" s="178">
        <v>12.0</v>
      </c>
      <c r="B39" s="191" t="s">
        <v>20</v>
      </c>
      <c r="C39" s="163" t="s">
        <v>26</v>
      </c>
      <c r="D39" s="193"/>
      <c r="E39" s="193"/>
      <c r="F39" s="168"/>
      <c r="G39" s="164"/>
      <c r="H39" s="164"/>
      <c r="I39" s="168"/>
      <c r="J39" s="164"/>
      <c r="K39" s="164"/>
      <c r="L39" s="168"/>
      <c r="M39" s="164"/>
      <c r="N39" s="164"/>
      <c r="O39" s="168"/>
      <c r="P39" s="164"/>
      <c r="Q39" s="164"/>
      <c r="R39" s="168"/>
      <c r="S39" s="164"/>
      <c r="T39" s="164"/>
      <c r="U39" s="168"/>
    </row>
    <row r="40" ht="15.0" customHeight="1">
      <c r="A40" s="154"/>
      <c r="B40" s="154"/>
      <c r="C40" s="163" t="s">
        <v>28</v>
      </c>
      <c r="D40" s="193"/>
      <c r="E40" s="193"/>
      <c r="F40" s="168"/>
      <c r="G40" s="164"/>
      <c r="H40" s="164"/>
      <c r="I40" s="168"/>
      <c r="J40" s="164"/>
      <c r="K40" s="164"/>
      <c r="L40" s="168"/>
      <c r="M40" s="164"/>
      <c r="N40" s="164"/>
      <c r="O40" s="168"/>
      <c r="P40" s="164"/>
      <c r="Q40" s="164"/>
      <c r="R40" s="168"/>
      <c r="S40" s="164"/>
      <c r="T40" s="164"/>
      <c r="U40" s="168"/>
    </row>
    <row r="41" ht="15.0" customHeight="1">
      <c r="A41" s="174"/>
      <c r="B41" s="174"/>
      <c r="C41" s="175"/>
      <c r="D41" s="159"/>
      <c r="E41" s="159"/>
      <c r="F41" s="160"/>
      <c r="G41" s="159"/>
      <c r="H41" s="159"/>
      <c r="I41" s="160"/>
      <c r="J41" s="159"/>
      <c r="K41" s="159"/>
      <c r="L41" s="160"/>
      <c r="M41" s="159"/>
      <c r="N41" s="159"/>
      <c r="O41" s="160"/>
      <c r="P41" s="159"/>
      <c r="Q41" s="159"/>
      <c r="R41" s="160"/>
      <c r="S41" s="159"/>
      <c r="T41" s="159"/>
      <c r="U41" s="168"/>
    </row>
    <row r="42" ht="15.0" customHeight="1">
      <c r="A42" s="178">
        <v>13.0</v>
      </c>
      <c r="B42" s="162" t="s">
        <v>21</v>
      </c>
      <c r="C42" s="163" t="s">
        <v>26</v>
      </c>
      <c r="D42" s="164"/>
      <c r="E42" s="164"/>
      <c r="F42" s="168"/>
      <c r="G42" s="193"/>
      <c r="H42" s="193"/>
      <c r="I42" s="168"/>
      <c r="J42" s="193"/>
      <c r="K42" s="193"/>
      <c r="L42" s="168"/>
      <c r="M42" s="193"/>
      <c r="N42" s="193"/>
      <c r="O42" s="168"/>
      <c r="P42" s="193"/>
      <c r="Q42" s="193"/>
      <c r="R42" s="168"/>
      <c r="S42" s="193"/>
      <c r="T42" s="193"/>
      <c r="U42" s="168"/>
    </row>
    <row r="43" ht="15.0" customHeight="1">
      <c r="A43" s="154"/>
      <c r="B43" s="154"/>
      <c r="C43" s="163" t="s">
        <v>28</v>
      </c>
      <c r="D43" s="193"/>
      <c r="E43" s="193"/>
      <c r="F43" s="168"/>
      <c r="G43" s="193"/>
      <c r="H43" s="193"/>
      <c r="I43" s="168"/>
      <c r="J43" s="193"/>
      <c r="K43" s="193"/>
      <c r="L43" s="168"/>
      <c r="M43" s="193"/>
      <c r="N43" s="193"/>
      <c r="O43" s="168"/>
      <c r="P43" s="193"/>
      <c r="Q43" s="193"/>
      <c r="R43" s="168"/>
      <c r="S43" s="193"/>
      <c r="T43" s="193"/>
      <c r="U43" s="168"/>
    </row>
    <row r="44" ht="15.0" customHeight="1">
      <c r="A44" s="174"/>
      <c r="B44" s="174"/>
      <c r="C44" s="175"/>
      <c r="D44" s="159"/>
      <c r="E44" s="159"/>
      <c r="F44" s="160"/>
      <c r="G44" s="159"/>
      <c r="H44" s="159"/>
      <c r="I44" s="160"/>
      <c r="J44" s="159"/>
      <c r="K44" s="159"/>
      <c r="L44" s="160"/>
      <c r="M44" s="159"/>
      <c r="N44" s="159"/>
      <c r="O44" s="160"/>
      <c r="P44" s="159"/>
      <c r="Q44" s="159"/>
      <c r="R44" s="160"/>
      <c r="S44" s="159"/>
      <c r="T44" s="159"/>
      <c r="U44" s="168"/>
    </row>
    <row r="45" ht="15.0" customHeight="1">
      <c r="A45" s="178">
        <v>14.0</v>
      </c>
      <c r="B45" s="162" t="s">
        <v>22</v>
      </c>
      <c r="C45" s="163" t="s">
        <v>26</v>
      </c>
      <c r="D45" s="193"/>
      <c r="E45" s="193"/>
      <c r="F45" s="168"/>
      <c r="G45" s="164"/>
      <c r="H45" s="164"/>
      <c r="I45" s="168"/>
      <c r="J45" s="164"/>
      <c r="K45" s="164"/>
      <c r="L45" s="168"/>
      <c r="M45" s="164"/>
      <c r="N45" s="164"/>
      <c r="O45" s="168"/>
      <c r="P45" s="164"/>
      <c r="Q45" s="164"/>
      <c r="R45" s="168"/>
      <c r="S45" s="164"/>
      <c r="T45" s="164"/>
      <c r="U45" s="168"/>
    </row>
    <row r="46" ht="15.0" customHeight="1">
      <c r="A46" s="154"/>
      <c r="B46" s="162"/>
      <c r="C46" s="163" t="s">
        <v>28</v>
      </c>
      <c r="D46" s="193"/>
      <c r="E46" s="193"/>
      <c r="F46" s="168"/>
      <c r="G46" s="193"/>
      <c r="H46" s="193"/>
      <c r="I46" s="168"/>
      <c r="J46" s="193"/>
      <c r="K46" s="193"/>
      <c r="L46" s="168"/>
      <c r="M46" s="193"/>
      <c r="N46" s="193"/>
      <c r="O46" s="168"/>
      <c r="P46" s="193"/>
      <c r="Q46" s="193"/>
      <c r="R46" s="168"/>
      <c r="S46" s="193"/>
      <c r="T46" s="193"/>
      <c r="U46" s="168"/>
    </row>
    <row r="47" ht="1.5" customHeight="1">
      <c r="A47" s="195"/>
      <c r="B47" s="154"/>
      <c r="C47" s="175"/>
      <c r="D47" s="164"/>
      <c r="E47" s="164"/>
      <c r="F47" s="168"/>
      <c r="G47" s="164"/>
      <c r="H47" s="164"/>
      <c r="I47" s="168"/>
      <c r="J47" s="164"/>
      <c r="K47" s="164"/>
      <c r="L47" s="168"/>
      <c r="M47" s="164"/>
      <c r="N47" s="164"/>
      <c r="O47" s="168"/>
      <c r="P47" s="164"/>
      <c r="Q47" s="164"/>
      <c r="R47" s="168"/>
      <c r="S47" s="164"/>
      <c r="T47" s="164"/>
      <c r="U47" s="168"/>
    </row>
    <row r="48">
      <c r="A48" s="174"/>
      <c r="B48" s="174"/>
      <c r="C48" s="175"/>
      <c r="D48" s="159"/>
      <c r="E48" s="159"/>
      <c r="F48" s="160"/>
      <c r="G48" s="159"/>
      <c r="H48" s="159"/>
      <c r="I48" s="160"/>
      <c r="J48" s="159"/>
      <c r="K48" s="159"/>
      <c r="L48" s="160"/>
      <c r="M48" s="159"/>
      <c r="N48" s="159"/>
      <c r="O48" s="160"/>
      <c r="P48" s="159"/>
      <c r="Q48" s="159"/>
      <c r="R48" s="160"/>
      <c r="S48" s="159"/>
      <c r="T48" s="159"/>
      <c r="U48" s="158"/>
    </row>
    <row r="49">
      <c r="A49" s="178">
        <v>15.0</v>
      </c>
      <c r="B49" s="162" t="s">
        <v>16</v>
      </c>
      <c r="C49" s="163" t="s">
        <v>26</v>
      </c>
      <c r="D49" s="193"/>
      <c r="E49" s="193"/>
      <c r="F49" s="168"/>
      <c r="G49" s="164"/>
      <c r="H49" s="164"/>
      <c r="I49" s="168"/>
      <c r="J49" s="164"/>
      <c r="K49" s="164"/>
      <c r="L49" s="168"/>
      <c r="M49" s="164"/>
      <c r="N49" s="164"/>
      <c r="O49" s="168"/>
      <c r="P49" s="164"/>
      <c r="Q49" s="164"/>
      <c r="R49" s="168"/>
      <c r="S49" s="164"/>
      <c r="T49" s="164"/>
      <c r="U49" s="168"/>
    </row>
    <row r="50">
      <c r="A50" s="154"/>
      <c r="B50" s="154"/>
      <c r="C50" s="163" t="s">
        <v>28</v>
      </c>
      <c r="D50" s="164"/>
      <c r="E50" s="164"/>
      <c r="F50" s="168"/>
      <c r="G50" s="193"/>
      <c r="H50" s="193"/>
      <c r="I50" s="168"/>
      <c r="J50" s="193"/>
      <c r="K50" s="193"/>
      <c r="L50" s="168"/>
      <c r="M50" s="193"/>
      <c r="N50" s="193"/>
      <c r="O50" s="168"/>
      <c r="P50" s="193"/>
      <c r="Q50" s="193"/>
      <c r="R50" s="168"/>
      <c r="S50" s="193"/>
      <c r="T50" s="193"/>
      <c r="U50" s="168"/>
    </row>
    <row r="51">
      <c r="A51" s="174"/>
      <c r="B51" s="174"/>
      <c r="C51" s="175"/>
      <c r="D51" s="159"/>
      <c r="E51" s="159"/>
      <c r="F51" s="160"/>
      <c r="G51" s="159"/>
      <c r="H51" s="159"/>
      <c r="I51" s="160"/>
      <c r="J51" s="159"/>
      <c r="K51" s="159"/>
      <c r="L51" s="160"/>
      <c r="M51" s="159"/>
      <c r="N51" s="159"/>
      <c r="O51" s="160"/>
      <c r="P51" s="159"/>
      <c r="Q51" s="159"/>
      <c r="R51" s="160"/>
      <c r="S51" s="159"/>
      <c r="T51" s="159"/>
      <c r="U51" s="168"/>
    </row>
    <row r="52">
      <c r="A52" s="178">
        <v>16.0</v>
      </c>
      <c r="B52" s="162" t="s">
        <v>17</v>
      </c>
      <c r="C52" s="163" t="s">
        <v>26</v>
      </c>
      <c r="D52" s="164"/>
      <c r="E52" s="164"/>
      <c r="F52" s="168"/>
      <c r="G52" s="193"/>
      <c r="H52" s="193"/>
      <c r="I52" s="168"/>
      <c r="J52" s="193"/>
      <c r="K52" s="193"/>
      <c r="L52" s="168"/>
      <c r="M52" s="193"/>
      <c r="N52" s="193"/>
      <c r="O52" s="168"/>
      <c r="P52" s="193"/>
      <c r="Q52" s="193"/>
      <c r="R52" s="168"/>
      <c r="S52" s="193"/>
      <c r="T52" s="193"/>
      <c r="U52" s="168"/>
    </row>
    <row r="53">
      <c r="A53" s="154"/>
      <c r="B53" s="154"/>
      <c r="C53" s="163" t="s">
        <v>28</v>
      </c>
      <c r="D53" s="193"/>
      <c r="E53" s="193"/>
      <c r="F53" s="168"/>
      <c r="G53" s="196"/>
      <c r="H53" s="196"/>
      <c r="I53" s="168"/>
      <c r="J53" s="196"/>
      <c r="K53" s="196"/>
      <c r="L53" s="168"/>
      <c r="M53" s="196"/>
      <c r="N53" s="196"/>
      <c r="O53" s="168"/>
      <c r="P53" s="196"/>
      <c r="Q53" s="196"/>
      <c r="R53" s="168"/>
      <c r="S53" s="196"/>
      <c r="T53" s="196"/>
      <c r="U53" s="168"/>
    </row>
    <row r="54">
      <c r="A54" s="174"/>
      <c r="B54" s="174"/>
      <c r="C54" s="175"/>
      <c r="D54" s="158"/>
      <c r="E54" s="158"/>
      <c r="F54" s="168"/>
      <c r="G54" s="197"/>
      <c r="H54" s="197"/>
      <c r="I54" s="168"/>
      <c r="J54" s="197"/>
      <c r="K54" s="197"/>
      <c r="L54" s="168"/>
      <c r="M54" s="197"/>
      <c r="N54" s="197"/>
      <c r="O54" s="168"/>
      <c r="P54" s="197"/>
      <c r="Q54" s="197"/>
      <c r="R54" s="168"/>
      <c r="S54" s="197"/>
      <c r="T54" s="197"/>
      <c r="U54" s="168"/>
    </row>
    <row r="55">
      <c r="A55" s="178">
        <v>17.0</v>
      </c>
      <c r="B55" s="189" t="s">
        <v>18</v>
      </c>
      <c r="C55" s="163" t="s">
        <v>26</v>
      </c>
      <c r="D55" s="193"/>
      <c r="E55" s="193"/>
      <c r="F55" s="168"/>
      <c r="G55" s="193"/>
      <c r="H55" s="193"/>
      <c r="I55" s="168"/>
      <c r="J55" s="193"/>
      <c r="K55" s="193"/>
      <c r="L55" s="168"/>
      <c r="M55" s="193"/>
      <c r="N55" s="193"/>
      <c r="O55" s="168"/>
      <c r="P55" s="193"/>
      <c r="Q55" s="193"/>
      <c r="R55" s="168"/>
      <c r="S55" s="193"/>
      <c r="T55" s="193"/>
      <c r="U55" s="168"/>
    </row>
    <row r="56">
      <c r="A56" s="154"/>
      <c r="B56" s="154"/>
      <c r="C56" s="163" t="s">
        <v>28</v>
      </c>
      <c r="D56" s="193"/>
      <c r="E56" s="193"/>
      <c r="F56" s="168"/>
      <c r="G56" s="198"/>
      <c r="H56" s="198"/>
      <c r="I56" s="168"/>
      <c r="J56" s="198"/>
      <c r="K56" s="198"/>
      <c r="L56" s="168"/>
      <c r="M56" s="198"/>
      <c r="N56" s="198"/>
      <c r="O56" s="168"/>
      <c r="P56" s="198"/>
      <c r="Q56" s="198"/>
      <c r="R56" s="168"/>
      <c r="S56" s="198"/>
      <c r="T56" s="198"/>
      <c r="U56" s="168"/>
    </row>
    <row r="57">
      <c r="A57" s="174"/>
      <c r="B57" s="174"/>
      <c r="C57" s="175"/>
      <c r="D57" s="159"/>
      <c r="E57" s="159"/>
      <c r="F57" s="160"/>
      <c r="G57" s="159"/>
      <c r="H57" s="159"/>
      <c r="I57" s="160"/>
      <c r="J57" s="159"/>
      <c r="K57" s="159"/>
      <c r="L57" s="160"/>
      <c r="M57" s="159"/>
      <c r="N57" s="159"/>
      <c r="O57" s="160"/>
      <c r="P57" s="159"/>
      <c r="Q57" s="159"/>
      <c r="R57" s="160"/>
      <c r="S57" s="159"/>
      <c r="T57" s="159"/>
      <c r="U57" s="168"/>
    </row>
    <row r="58">
      <c r="A58" s="178">
        <v>18.0</v>
      </c>
      <c r="B58" s="162" t="s">
        <v>19</v>
      </c>
      <c r="C58" s="163" t="s">
        <v>26</v>
      </c>
      <c r="D58" s="164"/>
      <c r="E58" s="164"/>
      <c r="F58" s="168"/>
      <c r="G58" s="193"/>
      <c r="H58" s="193"/>
      <c r="I58" s="168"/>
      <c r="J58" s="193"/>
      <c r="K58" s="193"/>
      <c r="L58" s="168"/>
      <c r="M58" s="193"/>
      <c r="N58" s="193"/>
      <c r="O58" s="168"/>
      <c r="P58" s="193"/>
      <c r="Q58" s="193"/>
      <c r="R58" s="168"/>
      <c r="S58" s="193"/>
      <c r="T58" s="193"/>
      <c r="U58" s="168"/>
    </row>
    <row r="59">
      <c r="A59" s="154"/>
      <c r="B59" s="154"/>
      <c r="C59" s="163" t="s">
        <v>28</v>
      </c>
      <c r="D59" s="193"/>
      <c r="E59" s="193"/>
      <c r="F59" s="168"/>
      <c r="G59" s="193"/>
      <c r="H59" s="193"/>
      <c r="I59" s="168"/>
      <c r="J59" s="193"/>
      <c r="K59" s="193"/>
      <c r="L59" s="168"/>
      <c r="M59" s="193"/>
      <c r="N59" s="193"/>
      <c r="O59" s="168"/>
      <c r="P59" s="193"/>
      <c r="Q59" s="193"/>
      <c r="R59" s="168"/>
      <c r="S59" s="193"/>
      <c r="T59" s="193"/>
      <c r="U59" s="168"/>
    </row>
    <row r="60">
      <c r="A60" s="174"/>
      <c r="B60" s="174"/>
      <c r="C60" s="175"/>
      <c r="D60" s="158"/>
      <c r="E60" s="158"/>
      <c r="F60" s="168"/>
      <c r="G60" s="197"/>
      <c r="H60" s="197"/>
      <c r="I60" s="168"/>
      <c r="J60" s="197"/>
      <c r="K60" s="197"/>
      <c r="L60" s="168"/>
      <c r="M60" s="197"/>
      <c r="N60" s="197"/>
      <c r="O60" s="168"/>
      <c r="P60" s="197"/>
      <c r="Q60" s="197"/>
      <c r="R60" s="168"/>
      <c r="S60" s="197"/>
      <c r="T60" s="197"/>
      <c r="U60" s="158"/>
    </row>
    <row r="61">
      <c r="A61" s="178">
        <v>19.0</v>
      </c>
      <c r="B61" s="191" t="s">
        <v>20</v>
      </c>
      <c r="C61" s="163" t="s">
        <v>26</v>
      </c>
      <c r="D61" s="193"/>
      <c r="E61" s="193"/>
      <c r="F61" s="168"/>
      <c r="G61" s="193"/>
      <c r="H61" s="193"/>
      <c r="I61" s="168"/>
      <c r="J61" s="193"/>
      <c r="K61" s="193"/>
      <c r="L61" s="168"/>
      <c r="M61" s="193"/>
      <c r="N61" s="193"/>
      <c r="O61" s="168"/>
      <c r="P61" s="193"/>
      <c r="Q61" s="193"/>
      <c r="R61" s="168"/>
      <c r="S61" s="193"/>
      <c r="T61" s="193"/>
      <c r="U61" s="168"/>
    </row>
    <row r="62">
      <c r="A62" s="154"/>
      <c r="B62" s="154"/>
      <c r="C62" s="163" t="s">
        <v>28</v>
      </c>
      <c r="D62" s="193"/>
      <c r="E62" s="193"/>
      <c r="F62" s="168"/>
      <c r="G62" s="164"/>
      <c r="H62" s="164"/>
      <c r="I62" s="168"/>
      <c r="J62" s="164"/>
      <c r="K62" s="164"/>
      <c r="L62" s="168"/>
      <c r="M62" s="164"/>
      <c r="N62" s="164"/>
      <c r="O62" s="168"/>
      <c r="P62" s="164"/>
      <c r="Q62" s="164"/>
      <c r="R62" s="168"/>
      <c r="S62" s="164"/>
      <c r="T62" s="164"/>
      <c r="U62" s="168"/>
    </row>
    <row r="63">
      <c r="A63" s="174"/>
      <c r="B63" s="174"/>
      <c r="C63" s="175"/>
      <c r="D63" s="159"/>
      <c r="E63" s="159"/>
      <c r="F63" s="160"/>
      <c r="G63" s="159"/>
      <c r="H63" s="159"/>
      <c r="I63" s="160"/>
      <c r="J63" s="159"/>
      <c r="K63" s="159"/>
      <c r="L63" s="160"/>
      <c r="M63" s="159"/>
      <c r="N63" s="159"/>
      <c r="O63" s="160"/>
      <c r="P63" s="159"/>
      <c r="Q63" s="159"/>
      <c r="R63" s="160"/>
      <c r="S63" s="159"/>
      <c r="T63" s="159"/>
      <c r="U63" s="168"/>
    </row>
    <row r="64">
      <c r="A64" s="178">
        <v>20.0</v>
      </c>
      <c r="B64" s="189" t="s">
        <v>21</v>
      </c>
      <c r="C64" s="163" t="s">
        <v>26</v>
      </c>
      <c r="D64" s="164"/>
      <c r="E64" s="164"/>
      <c r="F64" s="168"/>
      <c r="G64" s="193"/>
      <c r="H64" s="193"/>
      <c r="I64" s="168"/>
      <c r="J64" s="193"/>
      <c r="K64" s="193"/>
      <c r="L64" s="168"/>
      <c r="M64" s="193"/>
      <c r="N64" s="193"/>
      <c r="O64" s="168"/>
      <c r="P64" s="193"/>
      <c r="Q64" s="193"/>
      <c r="R64" s="168"/>
      <c r="S64" s="193"/>
      <c r="T64" s="193"/>
      <c r="U64" s="168"/>
    </row>
    <row r="65">
      <c r="A65" s="154"/>
      <c r="B65" s="154"/>
      <c r="C65" s="163" t="s">
        <v>28</v>
      </c>
      <c r="D65" s="193"/>
      <c r="E65" s="193"/>
      <c r="F65" s="168"/>
      <c r="G65" s="193"/>
      <c r="H65" s="193"/>
      <c r="I65" s="168"/>
      <c r="J65" s="193"/>
      <c r="K65" s="193"/>
      <c r="L65" s="168"/>
      <c r="M65" s="193"/>
      <c r="N65" s="193"/>
      <c r="O65" s="168"/>
      <c r="P65" s="193"/>
      <c r="Q65" s="193"/>
      <c r="R65" s="168"/>
      <c r="S65" s="193"/>
      <c r="T65" s="193"/>
      <c r="U65" s="168"/>
    </row>
    <row r="66">
      <c r="A66" s="174"/>
      <c r="B66" s="174"/>
      <c r="C66" s="175"/>
      <c r="D66" s="159"/>
      <c r="E66" s="159"/>
      <c r="F66" s="160"/>
      <c r="G66" s="159"/>
      <c r="H66" s="159"/>
      <c r="I66" s="160"/>
      <c r="J66" s="159"/>
      <c r="K66" s="159"/>
      <c r="L66" s="160"/>
      <c r="M66" s="159"/>
      <c r="N66" s="159"/>
      <c r="O66" s="160"/>
      <c r="P66" s="159"/>
      <c r="Q66" s="159"/>
      <c r="R66" s="160"/>
      <c r="S66" s="159"/>
      <c r="T66" s="159"/>
      <c r="U66" s="168"/>
    </row>
    <row r="67">
      <c r="A67" s="178">
        <v>21.0</v>
      </c>
      <c r="B67" s="189" t="s">
        <v>22</v>
      </c>
      <c r="C67" s="163" t="s">
        <v>26</v>
      </c>
      <c r="D67" s="193"/>
      <c r="E67" s="164"/>
      <c r="F67" s="168"/>
      <c r="G67" s="164"/>
      <c r="H67" s="164"/>
      <c r="I67" s="168"/>
      <c r="J67" s="164"/>
      <c r="K67" s="164"/>
      <c r="L67" s="168"/>
      <c r="M67" s="164"/>
      <c r="N67" s="164"/>
      <c r="O67" s="168"/>
      <c r="P67" s="164"/>
      <c r="Q67" s="164"/>
      <c r="R67" s="168"/>
      <c r="S67" s="164"/>
      <c r="T67" s="164"/>
      <c r="U67" s="168"/>
    </row>
    <row r="68">
      <c r="A68" s="154"/>
      <c r="B68" s="154"/>
      <c r="C68" s="163" t="s">
        <v>28</v>
      </c>
      <c r="D68" s="164"/>
      <c r="E68" s="164"/>
      <c r="F68" s="168"/>
      <c r="G68" s="193"/>
      <c r="H68" s="193"/>
      <c r="I68" s="168"/>
      <c r="J68" s="193"/>
      <c r="K68" s="193"/>
      <c r="L68" s="168"/>
      <c r="M68" s="193"/>
      <c r="N68" s="193"/>
      <c r="O68" s="168"/>
      <c r="P68" s="193"/>
      <c r="Q68" s="193"/>
      <c r="R68" s="168"/>
      <c r="S68" s="193"/>
      <c r="T68" s="193"/>
      <c r="U68" s="168"/>
    </row>
    <row r="69">
      <c r="A69" s="174"/>
      <c r="B69" s="174"/>
      <c r="C69" s="175"/>
      <c r="D69" s="159"/>
      <c r="E69" s="159"/>
      <c r="F69" s="160"/>
      <c r="G69" s="159"/>
      <c r="H69" s="159"/>
      <c r="I69" s="160"/>
      <c r="J69" s="159"/>
      <c r="K69" s="159"/>
      <c r="L69" s="160"/>
      <c r="M69" s="159"/>
      <c r="N69" s="159"/>
      <c r="O69" s="160"/>
      <c r="P69" s="159"/>
      <c r="Q69" s="159"/>
      <c r="R69" s="160"/>
      <c r="S69" s="159"/>
      <c r="T69" s="159"/>
      <c r="U69" s="168"/>
    </row>
    <row r="70">
      <c r="A70" s="178">
        <v>22.0</v>
      </c>
      <c r="B70" s="162" t="s">
        <v>16</v>
      </c>
      <c r="C70" s="163" t="s">
        <v>26</v>
      </c>
      <c r="D70" s="164"/>
      <c r="E70" s="164"/>
      <c r="F70" s="168"/>
      <c r="G70" s="193"/>
      <c r="H70" s="193"/>
      <c r="I70" s="168"/>
      <c r="J70" s="193"/>
      <c r="K70" s="193"/>
      <c r="L70" s="168"/>
      <c r="M70" s="193"/>
      <c r="N70" s="193"/>
      <c r="O70" s="168"/>
      <c r="P70" s="193"/>
      <c r="Q70" s="193"/>
      <c r="R70" s="199"/>
      <c r="S70" s="193"/>
      <c r="T70" s="193"/>
      <c r="U70" s="168"/>
    </row>
    <row r="71">
      <c r="A71" s="154"/>
      <c r="B71" s="154"/>
      <c r="C71" s="163" t="s">
        <v>28</v>
      </c>
      <c r="D71" s="193"/>
      <c r="E71" s="193"/>
      <c r="F71" s="168"/>
      <c r="G71" s="193"/>
      <c r="H71" s="193"/>
      <c r="I71" s="168"/>
      <c r="J71" s="193"/>
      <c r="K71" s="193"/>
      <c r="L71" s="168"/>
      <c r="M71" s="193"/>
      <c r="N71" s="193"/>
      <c r="O71" s="168"/>
      <c r="P71" s="193"/>
      <c r="Q71" s="193"/>
      <c r="R71" s="199"/>
      <c r="S71" s="193"/>
      <c r="T71" s="193"/>
      <c r="U71" s="168"/>
    </row>
    <row r="72">
      <c r="A72" s="174"/>
      <c r="B72" s="174"/>
      <c r="C72" s="175"/>
      <c r="D72" s="158"/>
      <c r="E72" s="158"/>
      <c r="F72" s="168"/>
      <c r="G72" s="197"/>
      <c r="H72" s="197"/>
      <c r="I72" s="168"/>
      <c r="J72" s="197"/>
      <c r="K72" s="197"/>
      <c r="L72" s="168"/>
      <c r="M72" s="197"/>
      <c r="N72" s="197"/>
      <c r="O72" s="168"/>
      <c r="P72" s="197"/>
      <c r="Q72" s="197"/>
      <c r="R72" s="199"/>
      <c r="S72" s="197"/>
      <c r="T72" s="197"/>
      <c r="U72" s="158"/>
    </row>
    <row r="73">
      <c r="A73" s="181">
        <v>23.0</v>
      </c>
      <c r="B73" s="191" t="s">
        <v>17</v>
      </c>
      <c r="C73" s="163" t="s">
        <v>26</v>
      </c>
      <c r="D73" s="193"/>
      <c r="E73" s="164"/>
      <c r="F73" s="168"/>
      <c r="G73" s="193"/>
      <c r="H73" s="164"/>
      <c r="I73" s="168"/>
      <c r="J73" s="193"/>
      <c r="K73" s="164"/>
      <c r="L73" s="168"/>
      <c r="M73" s="193"/>
      <c r="N73" s="164"/>
      <c r="O73" s="168"/>
      <c r="P73" s="193"/>
      <c r="Q73" s="164"/>
      <c r="R73" s="199"/>
      <c r="S73" s="193"/>
      <c r="T73" s="164"/>
      <c r="U73" s="168"/>
    </row>
    <row r="74">
      <c r="A74" s="154"/>
      <c r="B74" s="154"/>
      <c r="C74" s="163" t="s">
        <v>28</v>
      </c>
      <c r="D74" s="193"/>
      <c r="E74" s="193"/>
      <c r="F74" s="168"/>
      <c r="G74" s="164"/>
      <c r="H74" s="164"/>
      <c r="I74" s="168"/>
      <c r="J74" s="164"/>
      <c r="K74" s="164"/>
      <c r="L74" s="168"/>
      <c r="M74" s="164"/>
      <c r="N74" s="164"/>
      <c r="O74" s="168"/>
      <c r="P74" s="164"/>
      <c r="Q74" s="164"/>
      <c r="R74" s="199"/>
      <c r="S74" s="164"/>
      <c r="T74" s="164"/>
      <c r="U74" s="168"/>
    </row>
    <row r="75">
      <c r="A75" s="174"/>
      <c r="B75" s="174"/>
      <c r="C75" s="175"/>
      <c r="D75" s="159"/>
      <c r="E75" s="159"/>
      <c r="F75" s="160"/>
      <c r="G75" s="159"/>
      <c r="H75" s="159"/>
      <c r="I75" s="160"/>
      <c r="J75" s="159"/>
      <c r="K75" s="159"/>
      <c r="L75" s="160"/>
      <c r="M75" s="159"/>
      <c r="N75" s="159"/>
      <c r="O75" s="160"/>
      <c r="P75" s="159"/>
      <c r="Q75" s="159"/>
      <c r="R75" s="159"/>
      <c r="S75" s="159"/>
      <c r="T75" s="159"/>
      <c r="U75" s="168"/>
    </row>
    <row r="76">
      <c r="A76" s="178">
        <v>24.0</v>
      </c>
      <c r="B76" s="189" t="s">
        <v>18</v>
      </c>
      <c r="C76" s="163" t="s">
        <v>26</v>
      </c>
      <c r="D76" s="164"/>
      <c r="E76" s="164"/>
      <c r="F76" s="168"/>
      <c r="G76" s="193"/>
      <c r="H76" s="164"/>
      <c r="I76" s="168"/>
      <c r="J76" s="193"/>
      <c r="K76" s="164"/>
      <c r="L76" s="168"/>
      <c r="M76" s="193"/>
      <c r="N76" s="164"/>
      <c r="O76" s="168"/>
      <c r="P76" s="193"/>
      <c r="Q76" s="164"/>
      <c r="R76" s="199"/>
      <c r="S76" s="193"/>
      <c r="T76" s="164"/>
      <c r="U76" s="168"/>
    </row>
    <row r="77">
      <c r="A77" s="154"/>
      <c r="B77" s="154"/>
      <c r="C77" s="163" t="s">
        <v>28</v>
      </c>
      <c r="D77" s="193"/>
      <c r="E77" s="193"/>
      <c r="F77" s="168"/>
      <c r="G77" s="193"/>
      <c r="H77" s="193"/>
      <c r="I77" s="168"/>
      <c r="J77" s="193"/>
      <c r="K77" s="193"/>
      <c r="L77" s="168"/>
      <c r="M77" s="193"/>
      <c r="N77" s="193"/>
      <c r="O77" s="168"/>
      <c r="P77" s="193"/>
      <c r="Q77" s="193"/>
      <c r="R77" s="199"/>
      <c r="S77" s="193"/>
      <c r="T77" s="193"/>
      <c r="U77" s="168"/>
    </row>
    <row r="78">
      <c r="A78" s="174"/>
      <c r="B78" s="174"/>
      <c r="C78" s="175"/>
      <c r="D78" s="159"/>
      <c r="E78" s="159"/>
      <c r="F78" s="160"/>
      <c r="G78" s="159"/>
      <c r="H78" s="159"/>
      <c r="I78" s="160"/>
      <c r="J78" s="159"/>
      <c r="K78" s="159"/>
      <c r="L78" s="160"/>
      <c r="M78" s="159"/>
      <c r="N78" s="159"/>
      <c r="O78" s="160"/>
      <c r="P78" s="159"/>
      <c r="Q78" s="159"/>
      <c r="R78" s="159"/>
      <c r="S78" s="159"/>
      <c r="T78" s="159"/>
      <c r="U78" s="168"/>
    </row>
    <row r="79">
      <c r="A79" s="178">
        <v>25.0</v>
      </c>
      <c r="B79" s="162" t="s">
        <v>19</v>
      </c>
      <c r="C79" s="163" t="s">
        <v>26</v>
      </c>
      <c r="D79" s="193"/>
      <c r="E79" s="193"/>
      <c r="F79" s="168"/>
      <c r="G79" s="164"/>
      <c r="H79" s="164"/>
      <c r="I79" s="168"/>
      <c r="J79" s="164"/>
      <c r="K79" s="164"/>
      <c r="L79" s="168"/>
      <c r="M79" s="164"/>
      <c r="N79" s="164"/>
      <c r="O79" s="168"/>
      <c r="P79" s="164"/>
      <c r="Q79" s="164"/>
      <c r="R79" s="199"/>
      <c r="S79" s="164"/>
      <c r="T79" s="164"/>
      <c r="U79" s="168"/>
    </row>
    <row r="80">
      <c r="A80" s="154"/>
      <c r="B80" s="154"/>
      <c r="C80" s="163" t="s">
        <v>28</v>
      </c>
      <c r="D80" s="164"/>
      <c r="E80" s="164"/>
      <c r="F80" s="168"/>
      <c r="G80" s="193"/>
      <c r="H80" s="193"/>
      <c r="I80" s="168"/>
      <c r="J80" s="193"/>
      <c r="K80" s="193"/>
      <c r="L80" s="168"/>
      <c r="M80" s="193"/>
      <c r="N80" s="193"/>
      <c r="O80" s="168"/>
      <c r="P80" s="193"/>
      <c r="Q80" s="193"/>
      <c r="R80" s="199"/>
      <c r="S80" s="193"/>
      <c r="T80" s="193"/>
      <c r="U80" s="168"/>
    </row>
    <row r="81">
      <c r="A81" s="174"/>
      <c r="B81" s="174"/>
      <c r="C81" s="175"/>
      <c r="D81" s="159"/>
      <c r="E81" s="159"/>
      <c r="F81" s="160"/>
      <c r="G81" s="159"/>
      <c r="H81" s="159"/>
      <c r="I81" s="160"/>
      <c r="J81" s="159"/>
      <c r="K81" s="159"/>
      <c r="L81" s="160"/>
      <c r="M81" s="159"/>
      <c r="N81" s="159"/>
      <c r="O81" s="160"/>
      <c r="P81" s="159"/>
      <c r="Q81" s="159"/>
      <c r="R81" s="159"/>
      <c r="S81" s="159"/>
      <c r="T81" s="159"/>
      <c r="U81" s="168"/>
    </row>
    <row r="82">
      <c r="A82" s="178">
        <v>26.0</v>
      </c>
      <c r="B82" s="189" t="s">
        <v>20</v>
      </c>
      <c r="C82" s="163" t="s">
        <v>26</v>
      </c>
      <c r="D82" s="164"/>
      <c r="E82" s="164"/>
      <c r="F82" s="168"/>
      <c r="G82" s="193"/>
      <c r="H82" s="193"/>
      <c r="I82" s="168"/>
      <c r="J82" s="193"/>
      <c r="K82" s="193"/>
      <c r="L82" s="168"/>
      <c r="M82" s="193"/>
      <c r="N82" s="193"/>
      <c r="O82" s="168"/>
      <c r="P82" s="193"/>
      <c r="Q82" s="193"/>
      <c r="R82" s="199"/>
      <c r="S82" s="193"/>
      <c r="T82" s="193"/>
      <c r="U82" s="168"/>
    </row>
    <row r="83">
      <c r="A83" s="154"/>
      <c r="B83" s="154"/>
      <c r="C83" s="163" t="s">
        <v>28</v>
      </c>
      <c r="D83" s="193"/>
      <c r="E83" s="193"/>
      <c r="F83" s="168"/>
      <c r="G83" s="193"/>
      <c r="H83" s="193"/>
      <c r="I83" s="168"/>
      <c r="J83" s="193"/>
      <c r="K83" s="193"/>
      <c r="L83" s="168"/>
      <c r="M83" s="193"/>
      <c r="N83" s="193"/>
      <c r="O83" s="168"/>
      <c r="P83" s="193"/>
      <c r="Q83" s="193"/>
      <c r="R83" s="168"/>
      <c r="S83" s="193"/>
      <c r="T83" s="193"/>
      <c r="U83" s="168"/>
    </row>
    <row r="84">
      <c r="A84" s="174"/>
      <c r="B84" s="174"/>
      <c r="C84" s="175"/>
      <c r="D84" s="158"/>
      <c r="E84" s="158"/>
      <c r="F84" s="168"/>
      <c r="G84" s="197"/>
      <c r="H84" s="197"/>
      <c r="I84" s="168"/>
      <c r="J84" s="197"/>
      <c r="K84" s="197"/>
      <c r="L84" s="168"/>
      <c r="M84" s="197"/>
      <c r="N84" s="197"/>
      <c r="O84" s="168"/>
      <c r="P84" s="197"/>
      <c r="Q84" s="197"/>
      <c r="R84" s="168"/>
      <c r="S84" s="197"/>
      <c r="T84" s="197"/>
      <c r="U84" s="158"/>
    </row>
    <row r="85">
      <c r="A85" s="178">
        <v>27.0</v>
      </c>
      <c r="B85" s="162" t="s">
        <v>21</v>
      </c>
      <c r="C85" s="163" t="s">
        <v>26</v>
      </c>
      <c r="D85" s="193"/>
      <c r="E85" s="164"/>
      <c r="F85" s="168"/>
      <c r="G85" s="193"/>
      <c r="H85" s="164"/>
      <c r="I85" s="168"/>
      <c r="J85" s="193"/>
      <c r="K85" s="164"/>
      <c r="L85" s="168"/>
      <c r="M85" s="193"/>
      <c r="N85" s="164"/>
      <c r="O85" s="168"/>
      <c r="P85" s="193"/>
      <c r="Q85" s="164"/>
      <c r="R85" s="168"/>
      <c r="S85" s="193"/>
      <c r="T85" s="164"/>
      <c r="U85" s="168"/>
    </row>
    <row r="86">
      <c r="A86" s="154"/>
      <c r="B86" s="154"/>
      <c r="C86" s="163" t="s">
        <v>28</v>
      </c>
      <c r="D86" s="193"/>
      <c r="E86" s="193"/>
      <c r="F86" s="168"/>
      <c r="G86" s="164"/>
      <c r="H86" s="164"/>
      <c r="I86" s="168"/>
      <c r="J86" s="164"/>
      <c r="K86" s="164"/>
      <c r="L86" s="168"/>
      <c r="M86" s="164"/>
      <c r="N86" s="164"/>
      <c r="O86" s="168"/>
      <c r="P86" s="164"/>
      <c r="Q86" s="164"/>
      <c r="R86" s="168"/>
      <c r="S86" s="164"/>
      <c r="T86" s="164"/>
      <c r="U86" s="168"/>
    </row>
    <row r="87">
      <c r="A87" s="174"/>
      <c r="B87" s="174"/>
      <c r="C87" s="175"/>
      <c r="D87" s="159"/>
      <c r="E87" s="159"/>
      <c r="F87" s="160"/>
      <c r="G87" s="159"/>
      <c r="H87" s="159"/>
      <c r="I87" s="160"/>
      <c r="J87" s="159"/>
      <c r="K87" s="159"/>
      <c r="L87" s="160"/>
      <c r="M87" s="159"/>
      <c r="N87" s="159"/>
      <c r="O87" s="160"/>
      <c r="P87" s="159"/>
      <c r="Q87" s="159"/>
      <c r="R87" s="160"/>
      <c r="S87" s="159"/>
      <c r="T87" s="159"/>
      <c r="U87" s="168"/>
    </row>
    <row r="88">
      <c r="A88" s="178">
        <v>28.0</v>
      </c>
      <c r="B88" s="200" t="s">
        <v>22</v>
      </c>
      <c r="C88" s="163" t="s">
        <v>26</v>
      </c>
      <c r="D88" s="164"/>
      <c r="E88" s="164"/>
      <c r="F88" s="168"/>
      <c r="G88" s="193"/>
      <c r="H88" s="193"/>
      <c r="I88" s="168"/>
      <c r="J88" s="193"/>
      <c r="K88" s="193"/>
      <c r="L88" s="168"/>
      <c r="M88" s="193"/>
      <c r="N88" s="193"/>
      <c r="O88" s="168"/>
      <c r="P88" s="193"/>
      <c r="Q88" s="193"/>
      <c r="R88" s="168"/>
      <c r="S88" s="193"/>
      <c r="T88" s="193"/>
      <c r="U88" s="168"/>
    </row>
    <row r="89">
      <c r="A89" s="154"/>
      <c r="B89" s="154"/>
      <c r="C89" s="163" t="s">
        <v>28</v>
      </c>
      <c r="D89" s="193"/>
      <c r="E89" s="193"/>
      <c r="F89" s="168"/>
      <c r="G89" s="193"/>
      <c r="H89" s="193"/>
      <c r="I89" s="168"/>
      <c r="J89" s="193"/>
      <c r="K89" s="193"/>
      <c r="L89" s="168"/>
      <c r="M89" s="193"/>
      <c r="N89" s="193"/>
      <c r="O89" s="168"/>
      <c r="P89" s="193"/>
      <c r="Q89" s="193"/>
      <c r="R89" s="168"/>
      <c r="S89" s="193"/>
      <c r="T89" s="193"/>
      <c r="U89" s="168"/>
    </row>
    <row r="90">
      <c r="A90" s="174"/>
      <c r="B90" s="174"/>
      <c r="C90" s="175"/>
      <c r="D90" s="158"/>
      <c r="E90" s="158"/>
      <c r="F90" s="168"/>
      <c r="G90" s="197"/>
      <c r="H90" s="197"/>
      <c r="I90" s="168"/>
      <c r="J90" s="197"/>
      <c r="K90" s="197"/>
      <c r="L90" s="168"/>
      <c r="M90" s="197"/>
      <c r="N90" s="197"/>
      <c r="O90" s="168"/>
      <c r="P90" s="197"/>
      <c r="Q90" s="197"/>
      <c r="R90" s="168"/>
      <c r="S90" s="197"/>
      <c r="T90" s="197"/>
      <c r="U90" s="158"/>
    </row>
    <row r="91">
      <c r="A91" s="178"/>
      <c r="B91" s="189"/>
      <c r="C91" s="201"/>
      <c r="D91" s="193"/>
      <c r="E91" s="193"/>
      <c r="F91" s="168"/>
      <c r="G91" s="193"/>
      <c r="H91" s="164"/>
      <c r="I91" s="168"/>
      <c r="J91" s="193"/>
      <c r="K91" s="164"/>
      <c r="L91" s="168"/>
      <c r="M91" s="193"/>
      <c r="N91" s="164"/>
      <c r="O91" s="168"/>
      <c r="P91" s="193"/>
      <c r="Q91" s="164"/>
      <c r="R91" s="168"/>
      <c r="S91" s="193"/>
      <c r="T91" s="164"/>
      <c r="U91" s="168"/>
    </row>
    <row r="92">
      <c r="A92" s="154"/>
      <c r="B92" s="154"/>
      <c r="C92" s="201"/>
      <c r="D92" s="193"/>
      <c r="E92" s="193"/>
      <c r="F92" s="168"/>
      <c r="G92" s="164"/>
      <c r="H92" s="164"/>
      <c r="I92" s="168"/>
      <c r="J92" s="164"/>
      <c r="K92" s="164"/>
      <c r="L92" s="168"/>
      <c r="M92" s="164"/>
      <c r="N92" s="164"/>
      <c r="O92" s="168"/>
      <c r="P92" s="164"/>
      <c r="Q92" s="164"/>
      <c r="R92" s="168"/>
      <c r="S92" s="164"/>
      <c r="T92" s="164"/>
      <c r="U92" s="168"/>
    </row>
    <row r="93">
      <c r="A93" s="174"/>
      <c r="B93" s="174"/>
      <c r="C93" s="173"/>
      <c r="D93" s="159"/>
      <c r="E93" s="159"/>
      <c r="F93" s="160"/>
      <c r="G93" s="159"/>
      <c r="H93" s="159"/>
      <c r="I93" s="160"/>
      <c r="J93" s="159"/>
      <c r="K93" s="159"/>
      <c r="L93" s="160"/>
      <c r="M93" s="159"/>
      <c r="N93" s="159"/>
      <c r="O93" s="160"/>
      <c r="P93" s="159"/>
      <c r="Q93" s="159"/>
      <c r="R93" s="160"/>
      <c r="S93" s="159"/>
      <c r="T93" s="159"/>
      <c r="U93" s="168"/>
    </row>
    <row r="94">
      <c r="A94" s="178"/>
      <c r="B94" s="162"/>
      <c r="C94" s="201"/>
      <c r="D94" s="164"/>
      <c r="E94" s="164"/>
      <c r="F94" s="168"/>
      <c r="G94" s="193"/>
      <c r="H94" s="193"/>
      <c r="I94" s="168"/>
      <c r="J94" s="193"/>
      <c r="K94" s="193"/>
      <c r="L94" s="168"/>
      <c r="M94" s="193"/>
      <c r="N94" s="193"/>
      <c r="O94" s="168"/>
      <c r="P94" s="193"/>
      <c r="Q94" s="193"/>
      <c r="R94" s="168"/>
      <c r="S94" s="193"/>
      <c r="T94" s="193"/>
      <c r="U94" s="168"/>
    </row>
    <row r="95">
      <c r="A95" s="154"/>
      <c r="B95" s="154"/>
      <c r="C95" s="201"/>
      <c r="D95" s="193"/>
      <c r="E95" s="193"/>
      <c r="F95" s="168"/>
      <c r="G95" s="193"/>
      <c r="H95" s="193"/>
      <c r="I95" s="168"/>
      <c r="J95" s="193"/>
      <c r="K95" s="193"/>
      <c r="L95" s="168"/>
      <c r="M95" s="193"/>
      <c r="N95" s="193"/>
      <c r="O95" s="168"/>
      <c r="P95" s="193"/>
      <c r="Q95" s="193"/>
      <c r="R95" s="168"/>
      <c r="S95" s="193"/>
      <c r="T95" s="193"/>
      <c r="U95" s="168"/>
    </row>
    <row r="96">
      <c r="A96" s="174"/>
      <c r="B96" s="174"/>
      <c r="C96" s="173"/>
      <c r="D96" s="159"/>
      <c r="E96" s="159"/>
      <c r="F96" s="160"/>
      <c r="G96" s="159"/>
      <c r="H96" s="159"/>
      <c r="I96" s="160"/>
      <c r="J96" s="159"/>
      <c r="K96" s="159"/>
      <c r="L96" s="160"/>
      <c r="M96" s="159"/>
      <c r="N96" s="159"/>
      <c r="O96" s="160"/>
      <c r="P96" s="159"/>
      <c r="Q96" s="159"/>
      <c r="R96" s="160"/>
      <c r="S96" s="159"/>
      <c r="T96" s="159"/>
      <c r="U96" s="168"/>
    </row>
    <row r="97">
      <c r="A97" s="202"/>
      <c r="B97" s="200"/>
      <c r="C97" s="201"/>
      <c r="D97" s="193"/>
      <c r="E97" s="193"/>
      <c r="F97" s="168"/>
      <c r="G97" s="164"/>
      <c r="H97" s="164"/>
      <c r="I97" s="168"/>
      <c r="J97" s="164"/>
      <c r="K97" s="164"/>
      <c r="L97" s="168"/>
      <c r="M97" s="164"/>
      <c r="N97" s="164"/>
      <c r="O97" s="168"/>
      <c r="P97" s="164"/>
      <c r="Q97" s="164"/>
      <c r="R97" s="168"/>
      <c r="S97" s="164"/>
      <c r="T97" s="164"/>
      <c r="U97" s="168"/>
    </row>
    <row r="98">
      <c r="A98" s="154"/>
      <c r="B98" s="155"/>
      <c r="C98" s="201"/>
      <c r="D98" s="164"/>
      <c r="E98" s="164"/>
      <c r="F98" s="168"/>
      <c r="G98" s="193"/>
      <c r="H98" s="193"/>
      <c r="I98" s="168"/>
      <c r="J98" s="193"/>
      <c r="K98" s="193"/>
      <c r="L98" s="168"/>
      <c r="M98" s="164"/>
      <c r="N98" s="164"/>
      <c r="O98" s="168"/>
      <c r="P98" s="193"/>
      <c r="Q98" s="193"/>
      <c r="R98" s="168"/>
      <c r="S98" s="193"/>
      <c r="T98" s="193"/>
      <c r="U98" s="168"/>
    </row>
    <row r="99">
      <c r="A99" s="203"/>
      <c r="B99" s="204"/>
      <c r="C99" s="205"/>
      <c r="D99" s="206"/>
      <c r="E99" s="206"/>
      <c r="F99" s="207"/>
      <c r="G99" s="206"/>
      <c r="H99" s="206"/>
      <c r="I99" s="207"/>
      <c r="J99" s="206"/>
      <c r="K99" s="206"/>
      <c r="L99" s="207"/>
      <c r="M99" s="206"/>
      <c r="N99" s="206"/>
      <c r="O99" s="207"/>
      <c r="P99" s="206"/>
      <c r="Q99" s="206"/>
      <c r="R99" s="207"/>
      <c r="S99" s="206"/>
      <c r="T99" s="206"/>
      <c r="U99" s="208"/>
    </row>
    <row r="100">
      <c r="A100" s="209"/>
      <c r="B100" s="210"/>
      <c r="C100" s="210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</row>
    <row r="101">
      <c r="A101" s="211"/>
      <c r="B101" s="212" t="str">
        <f>'【大井町】売上'!C42</f>
        <v/>
      </c>
      <c r="C101" s="213"/>
      <c r="D101" s="209"/>
      <c r="E101" s="209"/>
      <c r="F101" s="153"/>
      <c r="G101" s="209"/>
      <c r="H101" s="209"/>
      <c r="I101" s="153"/>
      <c r="J101" s="209"/>
      <c r="K101" s="209"/>
      <c r="L101" s="153"/>
      <c r="M101" s="214"/>
      <c r="N101" s="214"/>
      <c r="O101" s="153"/>
      <c r="P101" s="214"/>
      <c r="Q101" s="214"/>
      <c r="R101" s="153"/>
      <c r="S101" s="214"/>
      <c r="T101" s="214"/>
      <c r="U101" s="153"/>
    </row>
    <row r="102">
      <c r="A102" s="215"/>
      <c r="B102" s="43"/>
      <c r="C102" s="213"/>
      <c r="D102" s="209"/>
      <c r="E102" s="209"/>
      <c r="F102" s="153"/>
      <c r="G102" s="214"/>
      <c r="H102" s="214"/>
      <c r="I102" s="153"/>
      <c r="J102" s="214"/>
      <c r="K102" s="214"/>
      <c r="L102" s="153"/>
      <c r="M102" s="209"/>
      <c r="N102" s="209"/>
      <c r="O102" s="153"/>
      <c r="P102" s="209"/>
      <c r="Q102" s="209"/>
      <c r="R102" s="153"/>
      <c r="S102" s="209"/>
      <c r="T102" s="209"/>
      <c r="U102" s="153"/>
    </row>
    <row r="103">
      <c r="A103" s="210"/>
      <c r="B103" s="210"/>
      <c r="C103" s="210"/>
      <c r="D103" s="214"/>
      <c r="E103" s="214"/>
      <c r="F103" s="153"/>
      <c r="G103" s="214"/>
      <c r="H103" s="214"/>
      <c r="I103" s="153"/>
      <c r="J103" s="214"/>
      <c r="K103" s="214"/>
      <c r="L103" s="153"/>
      <c r="M103" s="214"/>
      <c r="N103" s="214"/>
      <c r="O103" s="153"/>
      <c r="P103" s="214"/>
      <c r="Q103" s="214"/>
      <c r="R103" s="153"/>
      <c r="S103" s="214"/>
      <c r="T103" s="214"/>
      <c r="U103" s="153"/>
    </row>
    <row r="104">
      <c r="A104" s="211"/>
      <c r="B104" s="212" t="str">
        <f>'【大井町】売上'!C43</f>
        <v/>
      </c>
      <c r="C104" s="213"/>
      <c r="D104" s="214"/>
      <c r="E104" s="214"/>
      <c r="F104" s="153"/>
      <c r="G104" s="209"/>
      <c r="H104" s="209"/>
      <c r="I104" s="153"/>
      <c r="J104" s="209"/>
      <c r="K104" s="209"/>
      <c r="L104" s="153"/>
      <c r="M104" s="214"/>
      <c r="N104" s="214"/>
      <c r="O104" s="153"/>
      <c r="P104" s="214"/>
      <c r="Q104" s="214"/>
      <c r="R104" s="153"/>
      <c r="S104" s="214"/>
      <c r="T104" s="214"/>
      <c r="U104" s="153"/>
    </row>
    <row r="105">
      <c r="A105" s="215"/>
      <c r="B105" s="43"/>
      <c r="C105" s="213"/>
      <c r="D105" s="209"/>
      <c r="E105" s="209"/>
      <c r="F105" s="153"/>
      <c r="G105" s="209"/>
      <c r="H105" s="209"/>
      <c r="I105" s="153"/>
      <c r="J105" s="209"/>
      <c r="K105" s="209"/>
      <c r="L105" s="153"/>
      <c r="M105" s="209"/>
      <c r="N105" s="209"/>
      <c r="O105" s="153"/>
      <c r="P105" s="209"/>
      <c r="Q105" s="209"/>
      <c r="R105" s="153"/>
      <c r="S105" s="209"/>
      <c r="T105" s="209"/>
      <c r="U105" s="153"/>
    </row>
    <row r="106">
      <c r="A106" s="210"/>
      <c r="B106" s="210"/>
      <c r="C106" s="210"/>
      <c r="D106" s="214"/>
      <c r="E106" s="214"/>
      <c r="F106" s="153"/>
      <c r="G106" s="214"/>
      <c r="H106" s="214"/>
      <c r="I106" s="153"/>
      <c r="J106" s="214"/>
      <c r="K106" s="214"/>
      <c r="L106" s="153"/>
      <c r="M106" s="214"/>
      <c r="N106" s="214"/>
      <c r="O106" s="153"/>
      <c r="P106" s="214"/>
      <c r="Q106" s="214"/>
      <c r="R106" s="153"/>
      <c r="S106" s="214"/>
      <c r="T106" s="214"/>
      <c r="U106" s="153"/>
    </row>
    <row r="107">
      <c r="A107" s="211"/>
      <c r="B107" s="212" t="str">
        <f>'【大井町】売上'!C44</f>
        <v/>
      </c>
      <c r="C107" s="213"/>
      <c r="D107" s="209"/>
      <c r="E107" s="209"/>
      <c r="F107" s="153"/>
      <c r="G107" s="214"/>
      <c r="H107" s="214"/>
      <c r="I107" s="153"/>
      <c r="J107" s="214"/>
      <c r="K107" s="214"/>
      <c r="L107" s="153"/>
      <c r="M107" s="209"/>
      <c r="N107" s="209"/>
      <c r="O107" s="153"/>
      <c r="P107" s="209"/>
      <c r="Q107" s="209"/>
      <c r="R107" s="153"/>
      <c r="S107" s="214"/>
      <c r="T107" s="214"/>
      <c r="U107" s="153"/>
    </row>
    <row r="108">
      <c r="A108" s="215"/>
      <c r="B108" s="43"/>
      <c r="C108" s="213"/>
      <c r="D108" s="214"/>
      <c r="E108" s="214"/>
      <c r="F108" s="153"/>
      <c r="G108" s="209"/>
      <c r="H108" s="209"/>
      <c r="I108" s="153"/>
      <c r="J108" s="209"/>
      <c r="K108" s="209"/>
      <c r="L108" s="153"/>
      <c r="M108" s="214"/>
      <c r="N108" s="214"/>
      <c r="O108" s="153"/>
      <c r="P108" s="209"/>
      <c r="Q108" s="209"/>
      <c r="R108" s="153"/>
      <c r="S108" s="209"/>
      <c r="T108" s="209"/>
      <c r="U108" s="153"/>
    </row>
    <row r="109">
      <c r="A109" s="216"/>
      <c r="B109" s="216"/>
      <c r="C109" s="216"/>
      <c r="D109" s="209"/>
      <c r="E109" s="209"/>
      <c r="F109" s="209"/>
      <c r="G109" s="209"/>
      <c r="H109" s="209"/>
      <c r="I109" s="217"/>
      <c r="J109" s="217"/>
      <c r="K109" s="217"/>
      <c r="L109" s="217"/>
      <c r="M109" s="217"/>
      <c r="N109" s="217"/>
      <c r="O109" s="43"/>
      <c r="P109" s="43"/>
      <c r="Q109" s="43"/>
      <c r="R109" s="43"/>
      <c r="S109" s="43"/>
      <c r="T109" s="43"/>
      <c r="U109" s="43"/>
    </row>
    <row r="110">
      <c r="A110" s="216"/>
      <c r="B110" s="216"/>
      <c r="C110" s="216"/>
      <c r="D110" s="209"/>
      <c r="E110" s="209"/>
      <c r="F110" s="209"/>
      <c r="G110" s="209"/>
      <c r="H110" s="209"/>
      <c r="I110" s="217"/>
      <c r="J110" s="217"/>
      <c r="K110" s="217"/>
      <c r="L110" s="217"/>
      <c r="M110" s="217"/>
      <c r="N110" s="217"/>
      <c r="O110" s="43"/>
      <c r="P110" s="43"/>
      <c r="Q110" s="43"/>
      <c r="R110" s="43"/>
      <c r="S110" s="43"/>
      <c r="T110" s="43"/>
      <c r="U110" s="43"/>
    </row>
    <row r="111">
      <c r="A111" s="216"/>
      <c r="B111" s="216"/>
      <c r="C111" s="216"/>
      <c r="D111" s="209"/>
      <c r="E111" s="209"/>
      <c r="F111" s="209"/>
      <c r="G111" s="209"/>
      <c r="H111" s="209"/>
      <c r="I111" s="217"/>
      <c r="J111" s="217"/>
      <c r="K111" s="217"/>
      <c r="L111" s="217"/>
      <c r="M111" s="217"/>
      <c r="N111" s="217"/>
      <c r="O111" s="43"/>
      <c r="P111" s="43"/>
      <c r="Q111" s="43"/>
      <c r="R111" s="43"/>
      <c r="S111" s="43"/>
      <c r="T111" s="43"/>
      <c r="U111" s="43"/>
    </row>
    <row r="112">
      <c r="A112" s="216"/>
      <c r="B112" s="216"/>
      <c r="C112" s="216"/>
      <c r="D112" s="209"/>
      <c r="E112" s="209"/>
      <c r="F112" s="209"/>
      <c r="G112" s="209"/>
      <c r="H112" s="209"/>
      <c r="I112" s="217"/>
      <c r="J112" s="217"/>
      <c r="K112" s="217"/>
      <c r="L112" s="217"/>
      <c r="M112" s="217"/>
      <c r="N112" s="217"/>
      <c r="O112" s="43"/>
      <c r="P112" s="43"/>
      <c r="Q112" s="43"/>
      <c r="R112" s="43"/>
      <c r="S112" s="43"/>
      <c r="T112" s="43"/>
      <c r="U112" s="43"/>
    </row>
    <row r="113">
      <c r="A113" s="216"/>
      <c r="B113" s="216"/>
      <c r="C113" s="216"/>
      <c r="D113" s="209"/>
      <c r="E113" s="209"/>
      <c r="F113" s="209"/>
      <c r="G113" s="209"/>
      <c r="H113" s="209"/>
      <c r="I113" s="217"/>
      <c r="J113" s="217"/>
      <c r="K113" s="217"/>
      <c r="L113" s="217"/>
      <c r="M113" s="217"/>
      <c r="N113" s="217"/>
      <c r="O113" s="43"/>
      <c r="P113" s="43"/>
      <c r="Q113" s="43"/>
      <c r="R113" s="43"/>
      <c r="S113" s="43"/>
      <c r="T113" s="43"/>
      <c r="U113" s="43"/>
    </row>
    <row r="114">
      <c r="A114" s="216"/>
      <c r="B114" s="216"/>
      <c r="C114" s="216"/>
      <c r="D114" s="209"/>
      <c r="E114" s="209"/>
      <c r="F114" s="209"/>
      <c r="G114" s="209"/>
      <c r="H114" s="209"/>
      <c r="I114" s="217"/>
      <c r="J114" s="217"/>
      <c r="K114" s="217"/>
      <c r="L114" s="217"/>
      <c r="M114" s="217"/>
      <c r="N114" s="217"/>
      <c r="O114" s="43"/>
      <c r="P114" s="43"/>
      <c r="Q114" s="43"/>
      <c r="R114" s="43"/>
      <c r="S114" s="43"/>
      <c r="T114" s="43"/>
      <c r="U114" s="43"/>
    </row>
    <row r="115">
      <c r="A115" s="216"/>
      <c r="B115" s="216"/>
      <c r="C115" s="216"/>
      <c r="D115" s="209"/>
      <c r="E115" s="209"/>
      <c r="F115" s="209"/>
      <c r="G115" s="209"/>
      <c r="H115" s="209"/>
      <c r="I115" s="217"/>
      <c r="J115" s="217"/>
      <c r="K115" s="217"/>
      <c r="L115" s="217"/>
      <c r="M115" s="217"/>
      <c r="N115" s="217"/>
      <c r="O115" s="43"/>
      <c r="P115" s="43"/>
      <c r="Q115" s="43"/>
      <c r="R115" s="43"/>
      <c r="S115" s="43"/>
      <c r="T115" s="43"/>
      <c r="U115" s="43"/>
    </row>
    <row r="116">
      <c r="A116" s="136"/>
      <c r="B116" s="136"/>
      <c r="C116" s="136"/>
      <c r="D116" s="218"/>
      <c r="E116" s="218"/>
      <c r="F116" s="218"/>
      <c r="G116" s="218"/>
      <c r="H116" s="218"/>
      <c r="I116" s="219"/>
      <c r="J116" s="219"/>
      <c r="K116" s="219"/>
      <c r="L116" s="219"/>
      <c r="M116" s="219"/>
      <c r="N116" s="219"/>
    </row>
    <row r="117">
      <c r="A117" s="136"/>
      <c r="B117" s="136"/>
      <c r="C117" s="136"/>
      <c r="D117" s="218"/>
      <c r="E117" s="218"/>
      <c r="F117" s="218"/>
      <c r="G117" s="218"/>
      <c r="H117" s="218"/>
      <c r="I117" s="219"/>
      <c r="J117" s="219"/>
      <c r="K117" s="219"/>
      <c r="L117" s="219"/>
      <c r="M117" s="219"/>
      <c r="N117" s="219"/>
    </row>
    <row r="118">
      <c r="A118" s="136"/>
      <c r="B118" s="136"/>
      <c r="C118" s="136"/>
      <c r="D118" s="218"/>
      <c r="E118" s="218"/>
      <c r="F118" s="218"/>
      <c r="G118" s="218"/>
      <c r="H118" s="218"/>
      <c r="I118" s="219"/>
      <c r="J118" s="219"/>
      <c r="K118" s="219"/>
      <c r="L118" s="219"/>
      <c r="M118" s="219"/>
      <c r="N118" s="219"/>
    </row>
    <row r="119">
      <c r="A119" s="136"/>
      <c r="B119" s="136"/>
      <c r="C119" s="136"/>
      <c r="D119" s="218"/>
      <c r="E119" s="218"/>
      <c r="F119" s="218"/>
      <c r="G119" s="218"/>
      <c r="H119" s="218"/>
      <c r="I119" s="219"/>
      <c r="J119" s="219"/>
      <c r="K119" s="219"/>
      <c r="L119" s="219"/>
      <c r="M119" s="219"/>
      <c r="N119" s="219"/>
    </row>
    <row r="120">
      <c r="A120" s="136"/>
      <c r="B120" s="136"/>
      <c r="C120" s="136"/>
      <c r="D120" s="218"/>
      <c r="E120" s="218"/>
      <c r="F120" s="218"/>
      <c r="G120" s="218"/>
      <c r="H120" s="218"/>
      <c r="I120" s="219"/>
      <c r="J120" s="219"/>
      <c r="K120" s="219"/>
      <c r="L120" s="219"/>
      <c r="M120" s="219"/>
      <c r="N120" s="219"/>
    </row>
    <row r="121">
      <c r="A121" s="136"/>
      <c r="B121" s="136"/>
      <c r="C121" s="136"/>
      <c r="D121" s="218"/>
      <c r="E121" s="218"/>
      <c r="F121" s="218"/>
      <c r="G121" s="218"/>
      <c r="H121" s="218"/>
      <c r="I121" s="219"/>
      <c r="J121" s="219"/>
      <c r="K121" s="219"/>
      <c r="L121" s="219"/>
      <c r="M121" s="219"/>
      <c r="N121" s="219"/>
    </row>
    <row r="122">
      <c r="A122" s="136"/>
      <c r="B122" s="136"/>
      <c r="C122" s="136"/>
      <c r="D122" s="218"/>
      <c r="E122" s="218"/>
      <c r="F122" s="218"/>
      <c r="G122" s="218"/>
      <c r="H122" s="218"/>
      <c r="I122" s="219"/>
      <c r="J122" s="219"/>
      <c r="K122" s="219"/>
      <c r="L122" s="219"/>
      <c r="M122" s="219"/>
      <c r="N122" s="219"/>
    </row>
    <row r="123">
      <c r="A123" s="136"/>
      <c r="B123" s="136"/>
      <c r="C123" s="136"/>
      <c r="D123" s="218"/>
      <c r="E123" s="218"/>
      <c r="F123" s="218"/>
      <c r="G123" s="218"/>
      <c r="H123" s="218"/>
      <c r="I123" s="219"/>
      <c r="J123" s="219"/>
      <c r="K123" s="219"/>
      <c r="L123" s="219"/>
      <c r="M123" s="219"/>
      <c r="N123" s="219"/>
    </row>
    <row r="124">
      <c r="A124" s="136"/>
      <c r="B124" s="136"/>
      <c r="C124" s="136"/>
      <c r="D124" s="218"/>
      <c r="E124" s="218"/>
      <c r="F124" s="218"/>
      <c r="G124" s="218"/>
      <c r="H124" s="218"/>
      <c r="I124" s="219"/>
      <c r="J124" s="219"/>
      <c r="K124" s="219"/>
      <c r="L124" s="219"/>
      <c r="M124" s="219"/>
      <c r="N124" s="219"/>
    </row>
    <row r="125">
      <c r="A125" s="136"/>
      <c r="B125" s="136"/>
      <c r="C125" s="136"/>
      <c r="D125" s="218"/>
      <c r="E125" s="218"/>
      <c r="F125" s="218"/>
      <c r="G125" s="218"/>
      <c r="H125" s="218"/>
      <c r="I125" s="219"/>
      <c r="J125" s="219"/>
      <c r="K125" s="219"/>
      <c r="L125" s="219"/>
      <c r="M125" s="219"/>
      <c r="N125" s="219"/>
    </row>
    <row r="126">
      <c r="A126" s="136"/>
      <c r="B126" s="136"/>
      <c r="C126" s="136"/>
      <c r="D126" s="218"/>
      <c r="E126" s="218"/>
      <c r="F126" s="218"/>
      <c r="G126" s="218"/>
      <c r="H126" s="218"/>
      <c r="I126" s="219"/>
      <c r="J126" s="219"/>
      <c r="K126" s="219"/>
      <c r="L126" s="219"/>
      <c r="M126" s="219"/>
      <c r="N126" s="219"/>
    </row>
    <row r="127">
      <c r="A127" s="136"/>
      <c r="B127" s="136"/>
      <c r="C127" s="136"/>
      <c r="D127" s="218"/>
      <c r="E127" s="218"/>
      <c r="F127" s="218"/>
      <c r="G127" s="218"/>
      <c r="H127" s="218"/>
      <c r="I127" s="219"/>
      <c r="J127" s="219"/>
      <c r="K127" s="219"/>
      <c r="L127" s="219"/>
      <c r="M127" s="219"/>
      <c r="N127" s="219"/>
    </row>
    <row r="128">
      <c r="A128" s="136"/>
      <c r="B128" s="136"/>
      <c r="C128" s="136"/>
      <c r="D128" s="218"/>
      <c r="E128" s="218"/>
      <c r="F128" s="218"/>
      <c r="G128" s="218"/>
      <c r="H128" s="218"/>
      <c r="I128" s="219"/>
      <c r="J128" s="219"/>
      <c r="K128" s="219"/>
      <c r="L128" s="219"/>
      <c r="M128" s="219"/>
      <c r="N128" s="219"/>
    </row>
    <row r="129">
      <c r="A129" s="136"/>
      <c r="B129" s="136"/>
      <c r="C129" s="136"/>
      <c r="D129" s="218"/>
      <c r="E129" s="218"/>
      <c r="F129" s="218"/>
      <c r="G129" s="218"/>
      <c r="H129" s="218"/>
      <c r="I129" s="219"/>
      <c r="J129" s="219"/>
      <c r="K129" s="219"/>
      <c r="L129" s="219"/>
      <c r="M129" s="219"/>
      <c r="N129" s="219"/>
    </row>
    <row r="130">
      <c r="A130" s="136"/>
      <c r="B130" s="136"/>
      <c r="C130" s="136"/>
      <c r="D130" s="218"/>
      <c r="E130" s="218"/>
      <c r="F130" s="218"/>
      <c r="G130" s="218"/>
      <c r="H130" s="218"/>
      <c r="I130" s="219"/>
      <c r="J130" s="219"/>
      <c r="K130" s="219"/>
      <c r="L130" s="219"/>
      <c r="M130" s="219"/>
      <c r="N130" s="219"/>
    </row>
    <row r="131">
      <c r="A131" s="136"/>
      <c r="B131" s="136"/>
      <c r="C131" s="136"/>
      <c r="D131" s="218"/>
      <c r="E131" s="218"/>
      <c r="F131" s="218"/>
      <c r="G131" s="218"/>
      <c r="H131" s="218"/>
      <c r="I131" s="219"/>
      <c r="J131" s="219"/>
      <c r="K131" s="219"/>
      <c r="L131" s="219"/>
      <c r="M131" s="219"/>
      <c r="N131" s="219"/>
    </row>
    <row r="132">
      <c r="A132" s="136"/>
      <c r="B132" s="136"/>
      <c r="C132" s="136"/>
      <c r="D132" s="218"/>
      <c r="E132" s="218"/>
      <c r="F132" s="218"/>
      <c r="G132" s="218"/>
      <c r="H132" s="218"/>
      <c r="I132" s="219"/>
      <c r="J132" s="219"/>
      <c r="K132" s="219"/>
      <c r="L132" s="219"/>
      <c r="M132" s="219"/>
      <c r="N132" s="219"/>
    </row>
    <row r="133">
      <c r="A133" s="136"/>
      <c r="B133" s="136"/>
      <c r="C133" s="136"/>
      <c r="D133" s="218"/>
      <c r="E133" s="218"/>
      <c r="F133" s="218"/>
      <c r="G133" s="218"/>
      <c r="H133" s="218"/>
      <c r="I133" s="219"/>
      <c r="J133" s="219"/>
      <c r="K133" s="219"/>
      <c r="L133" s="219"/>
      <c r="M133" s="219"/>
      <c r="N133" s="219"/>
    </row>
    <row r="134">
      <c r="A134" s="136"/>
      <c r="B134" s="136"/>
      <c r="C134" s="136"/>
      <c r="D134" s="218"/>
      <c r="E134" s="218"/>
      <c r="F134" s="218"/>
      <c r="G134" s="218"/>
      <c r="H134" s="218"/>
      <c r="I134" s="219"/>
      <c r="J134" s="219"/>
      <c r="K134" s="219"/>
      <c r="L134" s="219"/>
      <c r="M134" s="219"/>
      <c r="N134" s="219"/>
    </row>
    <row r="135">
      <c r="A135" s="136"/>
      <c r="B135" s="136"/>
      <c r="C135" s="136"/>
      <c r="D135" s="218"/>
      <c r="E135" s="218"/>
      <c r="F135" s="218"/>
      <c r="G135" s="218"/>
      <c r="H135" s="218"/>
      <c r="I135" s="219"/>
      <c r="J135" s="219"/>
      <c r="K135" s="219"/>
      <c r="L135" s="219"/>
      <c r="M135" s="219"/>
      <c r="N135" s="219"/>
    </row>
    <row r="136">
      <c r="A136" s="136"/>
      <c r="B136" s="136"/>
      <c r="C136" s="136"/>
      <c r="D136" s="218"/>
      <c r="E136" s="218"/>
      <c r="F136" s="218"/>
      <c r="G136" s="218"/>
      <c r="H136" s="218"/>
      <c r="I136" s="219"/>
      <c r="J136" s="219"/>
      <c r="K136" s="219"/>
      <c r="L136" s="219"/>
      <c r="M136" s="219"/>
      <c r="N136" s="219"/>
    </row>
    <row r="137">
      <c r="A137" s="136"/>
      <c r="B137" s="136"/>
      <c r="C137" s="136"/>
      <c r="D137" s="218"/>
      <c r="E137" s="218"/>
      <c r="F137" s="218"/>
      <c r="G137" s="218"/>
      <c r="H137" s="218"/>
      <c r="I137" s="219"/>
      <c r="J137" s="219"/>
      <c r="K137" s="219"/>
      <c r="L137" s="219"/>
      <c r="M137" s="219"/>
      <c r="N137" s="219"/>
    </row>
    <row r="138">
      <c r="A138" s="136"/>
      <c r="B138" s="136"/>
      <c r="C138" s="136"/>
      <c r="D138" s="218"/>
      <c r="E138" s="218"/>
      <c r="F138" s="218"/>
      <c r="G138" s="218"/>
      <c r="H138" s="218"/>
      <c r="I138" s="219"/>
      <c r="J138" s="219"/>
      <c r="K138" s="219"/>
      <c r="L138" s="219"/>
      <c r="M138" s="219"/>
      <c r="N138" s="219"/>
    </row>
    <row r="139">
      <c r="A139" s="136"/>
      <c r="B139" s="136"/>
      <c r="C139" s="136"/>
      <c r="D139" s="218"/>
      <c r="E139" s="218"/>
      <c r="F139" s="218"/>
      <c r="G139" s="218"/>
      <c r="H139" s="218"/>
      <c r="I139" s="219"/>
      <c r="J139" s="219"/>
      <c r="K139" s="219"/>
      <c r="L139" s="219"/>
      <c r="M139" s="219"/>
      <c r="N139" s="219"/>
    </row>
    <row r="140">
      <c r="A140" s="136"/>
      <c r="B140" s="136"/>
      <c r="C140" s="136"/>
      <c r="D140" s="218"/>
      <c r="E140" s="218"/>
      <c r="F140" s="218"/>
      <c r="G140" s="218"/>
      <c r="H140" s="218"/>
      <c r="I140" s="219"/>
      <c r="J140" s="219"/>
      <c r="K140" s="219"/>
      <c r="L140" s="219"/>
      <c r="M140" s="219"/>
      <c r="N140" s="219"/>
    </row>
    <row r="141">
      <c r="A141" s="136"/>
      <c r="B141" s="136"/>
      <c r="C141" s="136"/>
      <c r="D141" s="218"/>
      <c r="E141" s="218"/>
      <c r="F141" s="218"/>
      <c r="G141" s="218"/>
      <c r="H141" s="218"/>
      <c r="I141" s="219"/>
      <c r="J141" s="219"/>
      <c r="K141" s="219"/>
      <c r="L141" s="219"/>
      <c r="M141" s="219"/>
      <c r="N141" s="219"/>
    </row>
    <row r="142">
      <c r="A142" s="136"/>
      <c r="B142" s="136"/>
      <c r="C142" s="136"/>
      <c r="D142" s="218"/>
      <c r="E142" s="218"/>
      <c r="F142" s="218"/>
      <c r="G142" s="218"/>
      <c r="H142" s="218"/>
      <c r="I142" s="219"/>
      <c r="J142" s="219"/>
      <c r="K142" s="219"/>
      <c r="L142" s="219"/>
      <c r="M142" s="219"/>
      <c r="N142" s="219"/>
    </row>
    <row r="143">
      <c r="A143" s="136"/>
      <c r="B143" s="136"/>
      <c r="C143" s="136"/>
      <c r="D143" s="218"/>
      <c r="E143" s="218"/>
      <c r="F143" s="218"/>
      <c r="G143" s="218"/>
      <c r="H143" s="218"/>
      <c r="I143" s="219"/>
      <c r="J143" s="219"/>
      <c r="K143" s="219"/>
      <c r="L143" s="219"/>
      <c r="M143" s="219"/>
      <c r="N143" s="219"/>
    </row>
    <row r="144">
      <c r="A144" s="136"/>
      <c r="B144" s="136"/>
      <c r="C144" s="136"/>
      <c r="D144" s="218"/>
      <c r="E144" s="218"/>
      <c r="F144" s="218"/>
      <c r="G144" s="218"/>
      <c r="H144" s="218"/>
      <c r="I144" s="219"/>
      <c r="J144" s="219"/>
      <c r="K144" s="219"/>
      <c r="L144" s="219"/>
      <c r="M144" s="219"/>
      <c r="N144" s="219"/>
    </row>
    <row r="145">
      <c r="A145" s="136"/>
      <c r="B145" s="136"/>
      <c r="C145" s="136"/>
      <c r="D145" s="218"/>
      <c r="E145" s="218"/>
      <c r="F145" s="218"/>
      <c r="G145" s="218"/>
      <c r="H145" s="218"/>
      <c r="I145" s="219"/>
      <c r="J145" s="219"/>
      <c r="K145" s="219"/>
      <c r="L145" s="219"/>
      <c r="M145" s="219"/>
      <c r="N145" s="219"/>
    </row>
    <row r="146">
      <c r="A146" s="136"/>
      <c r="B146" s="136"/>
      <c r="C146" s="136"/>
      <c r="D146" s="218"/>
      <c r="E146" s="218"/>
      <c r="F146" s="218"/>
      <c r="G146" s="218"/>
      <c r="H146" s="218"/>
      <c r="I146" s="219"/>
      <c r="J146" s="219"/>
      <c r="K146" s="219"/>
      <c r="L146" s="219"/>
      <c r="M146" s="219"/>
      <c r="N146" s="219"/>
    </row>
    <row r="147">
      <c r="A147" s="136"/>
      <c r="B147" s="136"/>
      <c r="C147" s="136"/>
      <c r="D147" s="218"/>
      <c r="E147" s="218"/>
      <c r="F147" s="218"/>
      <c r="G147" s="218"/>
      <c r="H147" s="218"/>
      <c r="I147" s="219"/>
      <c r="J147" s="219"/>
      <c r="K147" s="219"/>
      <c r="L147" s="219"/>
      <c r="M147" s="219"/>
      <c r="N147" s="219"/>
    </row>
    <row r="148">
      <c r="A148" s="136"/>
      <c r="B148" s="136"/>
      <c r="C148" s="136"/>
      <c r="D148" s="218"/>
      <c r="E148" s="218"/>
      <c r="F148" s="218"/>
      <c r="G148" s="218"/>
      <c r="H148" s="218"/>
      <c r="I148" s="219"/>
      <c r="J148" s="219"/>
      <c r="K148" s="219"/>
      <c r="L148" s="219"/>
      <c r="M148" s="219"/>
      <c r="N148" s="219"/>
    </row>
    <row r="149">
      <c r="A149" s="136"/>
      <c r="B149" s="136"/>
      <c r="C149" s="136"/>
      <c r="D149" s="218"/>
      <c r="E149" s="218"/>
      <c r="F149" s="218"/>
      <c r="G149" s="218"/>
      <c r="H149" s="218"/>
      <c r="I149" s="219"/>
      <c r="J149" s="219"/>
      <c r="K149" s="219"/>
      <c r="L149" s="219"/>
      <c r="M149" s="219"/>
      <c r="N149" s="219"/>
    </row>
    <row r="150">
      <c r="A150" s="136"/>
      <c r="B150" s="136"/>
      <c r="C150" s="136"/>
      <c r="D150" s="218"/>
      <c r="E150" s="218"/>
      <c r="F150" s="218"/>
      <c r="G150" s="218"/>
      <c r="H150" s="218"/>
      <c r="I150" s="219"/>
      <c r="J150" s="219"/>
      <c r="K150" s="219"/>
      <c r="L150" s="219"/>
      <c r="M150" s="219"/>
      <c r="N150" s="219"/>
    </row>
    <row r="151">
      <c r="A151" s="136"/>
      <c r="B151" s="136"/>
      <c r="C151" s="136"/>
      <c r="D151" s="218"/>
      <c r="E151" s="218"/>
      <c r="F151" s="218"/>
      <c r="G151" s="218"/>
      <c r="H151" s="218"/>
      <c r="I151" s="219"/>
      <c r="J151" s="219"/>
      <c r="K151" s="219"/>
      <c r="L151" s="219"/>
      <c r="M151" s="219"/>
      <c r="N151" s="219"/>
    </row>
    <row r="152">
      <c r="A152" s="136"/>
      <c r="B152" s="136"/>
      <c r="C152" s="136"/>
      <c r="D152" s="136"/>
      <c r="E152" s="136"/>
      <c r="F152" s="136"/>
      <c r="G152" s="136"/>
      <c r="H152" s="136"/>
      <c r="I152" s="134"/>
      <c r="J152" s="134"/>
      <c r="K152" s="134"/>
      <c r="L152" s="134"/>
      <c r="M152" s="134"/>
      <c r="N152" s="134"/>
    </row>
    <row r="153">
      <c r="A153" s="136"/>
      <c r="B153" s="136"/>
      <c r="C153" s="136"/>
      <c r="D153" s="136"/>
      <c r="E153" s="136"/>
      <c r="F153" s="136"/>
      <c r="G153" s="136"/>
      <c r="H153" s="136"/>
      <c r="I153" s="134"/>
      <c r="J153" s="134"/>
      <c r="K153" s="134"/>
      <c r="L153" s="134"/>
      <c r="M153" s="134"/>
      <c r="N153" s="134"/>
    </row>
    <row r="154">
      <c r="A154" s="136"/>
      <c r="B154" s="136"/>
      <c r="C154" s="136"/>
      <c r="D154" s="136"/>
      <c r="E154" s="136"/>
      <c r="F154" s="136"/>
      <c r="G154" s="136"/>
      <c r="H154" s="136"/>
      <c r="I154" s="134"/>
      <c r="J154" s="134"/>
      <c r="K154" s="134"/>
      <c r="L154" s="134"/>
      <c r="M154" s="134"/>
      <c r="N154" s="134"/>
    </row>
    <row r="155">
      <c r="A155" s="136"/>
      <c r="B155" s="136"/>
      <c r="C155" s="136"/>
      <c r="D155" s="136"/>
      <c r="E155" s="136"/>
      <c r="F155" s="136"/>
      <c r="G155" s="136"/>
      <c r="H155" s="136"/>
      <c r="I155" s="134"/>
      <c r="J155" s="134"/>
      <c r="K155" s="134"/>
      <c r="L155" s="134"/>
      <c r="M155" s="134"/>
      <c r="N155" s="134"/>
    </row>
    <row r="156">
      <c r="A156" s="136"/>
      <c r="B156" s="136"/>
      <c r="C156" s="136"/>
      <c r="D156" s="136"/>
      <c r="E156" s="136"/>
      <c r="F156" s="136"/>
      <c r="G156" s="136"/>
      <c r="H156" s="136"/>
      <c r="I156" s="134"/>
      <c r="J156" s="134"/>
      <c r="K156" s="134"/>
      <c r="L156" s="134"/>
      <c r="M156" s="134"/>
      <c r="N156" s="134"/>
    </row>
    <row r="157">
      <c r="A157" s="136"/>
      <c r="B157" s="136"/>
      <c r="C157" s="136"/>
      <c r="D157" s="136"/>
      <c r="E157" s="136"/>
      <c r="F157" s="136"/>
      <c r="G157" s="136"/>
      <c r="H157" s="136"/>
      <c r="I157" s="134"/>
      <c r="J157" s="134"/>
      <c r="K157" s="134"/>
      <c r="L157" s="134"/>
      <c r="M157" s="134"/>
      <c r="N157" s="134"/>
    </row>
    <row r="158">
      <c r="A158" s="136"/>
      <c r="B158" s="136"/>
      <c r="C158" s="136"/>
      <c r="D158" s="136"/>
      <c r="E158" s="136"/>
      <c r="F158" s="136"/>
      <c r="G158" s="136"/>
      <c r="H158" s="136"/>
      <c r="I158" s="134"/>
      <c r="J158" s="134"/>
      <c r="K158" s="134"/>
      <c r="L158" s="134"/>
      <c r="M158" s="134"/>
      <c r="N158" s="134"/>
    </row>
    <row r="159">
      <c r="A159" s="136"/>
      <c r="B159" s="136"/>
      <c r="C159" s="136"/>
      <c r="D159" s="136"/>
      <c r="E159" s="136"/>
      <c r="F159" s="136"/>
      <c r="G159" s="136"/>
      <c r="H159" s="136"/>
      <c r="I159" s="134"/>
      <c r="J159" s="134"/>
      <c r="K159" s="134"/>
      <c r="L159" s="134"/>
      <c r="M159" s="134"/>
      <c r="N159" s="134"/>
    </row>
    <row r="160">
      <c r="A160" s="136"/>
      <c r="B160" s="136"/>
      <c r="C160" s="136"/>
      <c r="D160" s="136"/>
      <c r="E160" s="136"/>
      <c r="F160" s="136"/>
      <c r="G160" s="136"/>
      <c r="H160" s="136"/>
      <c r="I160" s="134"/>
      <c r="J160" s="134"/>
      <c r="K160" s="134"/>
      <c r="L160" s="134"/>
      <c r="M160" s="134"/>
      <c r="N160" s="134"/>
    </row>
    <row r="161">
      <c r="A161" s="136"/>
      <c r="B161" s="136"/>
      <c r="C161" s="136"/>
      <c r="D161" s="136"/>
      <c r="E161" s="136"/>
      <c r="F161" s="136"/>
      <c r="G161" s="136"/>
      <c r="H161" s="136"/>
      <c r="I161" s="134"/>
      <c r="J161" s="134"/>
      <c r="K161" s="134"/>
      <c r="L161" s="134"/>
      <c r="M161" s="134"/>
      <c r="N161" s="134"/>
    </row>
    <row r="162">
      <c r="A162" s="136"/>
      <c r="B162" s="136"/>
      <c r="C162" s="136"/>
      <c r="D162" s="136"/>
      <c r="E162" s="136"/>
      <c r="F162" s="136"/>
      <c r="G162" s="136"/>
      <c r="H162" s="136"/>
      <c r="I162" s="134"/>
      <c r="J162" s="134"/>
      <c r="K162" s="134"/>
      <c r="L162" s="134"/>
      <c r="M162" s="134"/>
      <c r="N162" s="134"/>
    </row>
    <row r="163">
      <c r="A163" s="136"/>
      <c r="B163" s="136"/>
      <c r="C163" s="136"/>
      <c r="D163" s="136"/>
      <c r="E163" s="136"/>
      <c r="F163" s="136"/>
      <c r="G163" s="136"/>
      <c r="H163" s="136"/>
      <c r="I163" s="134"/>
      <c r="J163" s="134"/>
      <c r="K163" s="134"/>
      <c r="L163" s="134"/>
      <c r="M163" s="134"/>
      <c r="N163" s="134"/>
    </row>
    <row r="164">
      <c r="A164" s="136"/>
      <c r="B164" s="136"/>
      <c r="C164" s="136"/>
      <c r="D164" s="136"/>
      <c r="E164" s="136"/>
      <c r="F164" s="136"/>
      <c r="G164" s="136"/>
      <c r="H164" s="136"/>
      <c r="I164" s="134"/>
      <c r="J164" s="134"/>
      <c r="K164" s="134"/>
      <c r="L164" s="134"/>
      <c r="M164" s="134"/>
      <c r="N164" s="134"/>
    </row>
    <row r="165">
      <c r="A165" s="136"/>
      <c r="B165" s="136"/>
      <c r="C165" s="136"/>
      <c r="D165" s="136"/>
      <c r="E165" s="136"/>
      <c r="F165" s="136"/>
      <c r="G165" s="136"/>
      <c r="H165" s="136"/>
      <c r="I165" s="134"/>
      <c r="J165" s="134"/>
      <c r="K165" s="134"/>
      <c r="L165" s="134"/>
      <c r="M165" s="134"/>
      <c r="N165" s="134"/>
    </row>
    <row r="166">
      <c r="A166" s="136"/>
      <c r="B166" s="136"/>
      <c r="C166" s="136"/>
      <c r="D166" s="136"/>
      <c r="E166" s="136"/>
      <c r="F166" s="136"/>
      <c r="G166" s="136"/>
      <c r="H166" s="136"/>
      <c r="I166" s="134"/>
      <c r="J166" s="134"/>
      <c r="K166" s="134"/>
      <c r="L166" s="134"/>
      <c r="M166" s="134"/>
      <c r="N166" s="134"/>
    </row>
    <row r="167">
      <c r="A167" s="136"/>
      <c r="B167" s="136"/>
      <c r="C167" s="136"/>
      <c r="D167" s="136"/>
      <c r="E167" s="136"/>
      <c r="F167" s="136"/>
      <c r="G167" s="136"/>
      <c r="H167" s="136"/>
      <c r="I167" s="134"/>
      <c r="J167" s="134"/>
      <c r="K167" s="134"/>
      <c r="L167" s="134"/>
      <c r="M167" s="134"/>
      <c r="N167" s="134"/>
    </row>
    <row r="168">
      <c r="A168" s="136"/>
      <c r="B168" s="136"/>
      <c r="C168" s="136"/>
      <c r="D168" s="136"/>
      <c r="E168" s="136"/>
      <c r="F168" s="136"/>
      <c r="G168" s="136"/>
      <c r="H168" s="136"/>
      <c r="I168" s="134"/>
      <c r="J168" s="134"/>
      <c r="K168" s="134"/>
      <c r="L168" s="134"/>
      <c r="M168" s="134"/>
      <c r="N168" s="134"/>
    </row>
    <row r="169">
      <c r="A169" s="136"/>
      <c r="B169" s="136"/>
      <c r="C169" s="136"/>
      <c r="D169" s="136"/>
      <c r="E169" s="136"/>
      <c r="F169" s="136"/>
      <c r="G169" s="136"/>
      <c r="H169" s="136"/>
      <c r="I169" s="134"/>
      <c r="J169" s="134"/>
      <c r="K169" s="134"/>
      <c r="L169" s="134"/>
      <c r="M169" s="134"/>
      <c r="N169" s="134"/>
    </row>
    <row r="170">
      <c r="A170" s="136"/>
      <c r="B170" s="136"/>
      <c r="C170" s="136"/>
      <c r="D170" s="136"/>
      <c r="E170" s="136"/>
      <c r="F170" s="136"/>
      <c r="G170" s="136"/>
      <c r="H170" s="136"/>
      <c r="I170" s="134"/>
      <c r="J170" s="134"/>
      <c r="K170" s="134"/>
      <c r="L170" s="134"/>
      <c r="M170" s="134"/>
      <c r="N170" s="134"/>
    </row>
    <row r="171">
      <c r="A171" s="136"/>
      <c r="B171" s="136"/>
      <c r="C171" s="136"/>
      <c r="D171" s="136"/>
      <c r="E171" s="136"/>
      <c r="F171" s="136"/>
      <c r="G171" s="136"/>
      <c r="H171" s="136"/>
      <c r="I171" s="134"/>
      <c r="J171" s="134"/>
      <c r="K171" s="134"/>
      <c r="L171" s="134"/>
      <c r="M171" s="134"/>
      <c r="N171" s="134"/>
    </row>
    <row r="172">
      <c r="A172" s="136"/>
      <c r="B172" s="136"/>
      <c r="C172" s="136"/>
      <c r="D172" s="136"/>
      <c r="E172" s="136"/>
      <c r="F172" s="136"/>
      <c r="G172" s="136"/>
      <c r="H172" s="136"/>
      <c r="I172" s="134"/>
      <c r="J172" s="134"/>
      <c r="K172" s="134"/>
      <c r="L172" s="134"/>
      <c r="M172" s="134"/>
      <c r="N172" s="134"/>
    </row>
    <row r="173">
      <c r="A173" s="136"/>
      <c r="B173" s="136"/>
      <c r="C173" s="136"/>
      <c r="D173" s="136"/>
      <c r="E173" s="136"/>
      <c r="F173" s="136"/>
      <c r="G173" s="136"/>
      <c r="H173" s="136"/>
      <c r="I173" s="134"/>
      <c r="J173" s="134"/>
      <c r="K173" s="134"/>
      <c r="L173" s="134"/>
      <c r="M173" s="134"/>
      <c r="N173" s="134"/>
    </row>
    <row r="174">
      <c r="A174" s="136"/>
      <c r="B174" s="136"/>
      <c r="C174" s="136"/>
      <c r="D174" s="136"/>
      <c r="E174" s="136"/>
      <c r="F174" s="136"/>
      <c r="G174" s="136"/>
      <c r="H174" s="136"/>
      <c r="I174" s="134"/>
      <c r="J174" s="134"/>
      <c r="K174" s="134"/>
      <c r="L174" s="134"/>
      <c r="M174" s="134"/>
      <c r="N174" s="134"/>
    </row>
    <row r="175">
      <c r="A175" s="136"/>
      <c r="B175" s="136"/>
      <c r="C175" s="136"/>
      <c r="D175" s="136"/>
      <c r="E175" s="136"/>
      <c r="F175" s="136"/>
      <c r="G175" s="136"/>
      <c r="H175" s="136"/>
      <c r="I175" s="134"/>
      <c r="J175" s="134"/>
      <c r="K175" s="134"/>
      <c r="L175" s="134"/>
      <c r="M175" s="134"/>
      <c r="N175" s="134"/>
    </row>
    <row r="176">
      <c r="A176" s="136"/>
      <c r="B176" s="136"/>
      <c r="C176" s="136"/>
      <c r="D176" s="136"/>
      <c r="E176" s="136"/>
      <c r="F176" s="136"/>
      <c r="G176" s="136"/>
      <c r="H176" s="136"/>
      <c r="I176" s="134"/>
      <c r="J176" s="134"/>
      <c r="K176" s="134"/>
      <c r="L176" s="134"/>
      <c r="M176" s="134"/>
      <c r="N176" s="134"/>
    </row>
    <row r="177">
      <c r="A177" s="136"/>
      <c r="B177" s="136"/>
      <c r="C177" s="136"/>
      <c r="D177" s="136"/>
      <c r="E177" s="136"/>
      <c r="F177" s="136"/>
      <c r="G177" s="136"/>
      <c r="H177" s="136"/>
      <c r="I177" s="134"/>
      <c r="J177" s="134"/>
      <c r="K177" s="134"/>
      <c r="L177" s="134"/>
      <c r="M177" s="134"/>
      <c r="N177" s="134"/>
    </row>
    <row r="178">
      <c r="A178" s="136"/>
      <c r="B178" s="136"/>
      <c r="C178" s="136"/>
      <c r="D178" s="136"/>
      <c r="E178" s="136"/>
      <c r="F178" s="136"/>
      <c r="G178" s="136"/>
      <c r="H178" s="136"/>
      <c r="I178" s="134"/>
      <c r="J178" s="134"/>
      <c r="K178" s="134"/>
      <c r="L178" s="134"/>
      <c r="M178" s="134"/>
      <c r="N178" s="134"/>
    </row>
    <row r="179">
      <c r="A179" s="136"/>
      <c r="B179" s="136"/>
      <c r="C179" s="136"/>
      <c r="D179" s="136"/>
      <c r="E179" s="136"/>
      <c r="F179" s="136"/>
      <c r="G179" s="136"/>
      <c r="H179" s="136"/>
      <c r="I179" s="134"/>
      <c r="J179" s="134"/>
      <c r="K179" s="134"/>
      <c r="L179" s="134"/>
      <c r="M179" s="134"/>
      <c r="N179" s="134"/>
    </row>
    <row r="180">
      <c r="A180" s="136"/>
      <c r="B180" s="136"/>
      <c r="C180" s="136"/>
      <c r="D180" s="136"/>
      <c r="E180" s="136"/>
      <c r="F180" s="136"/>
      <c r="G180" s="136"/>
      <c r="H180" s="136"/>
      <c r="I180" s="134"/>
      <c r="J180" s="134"/>
      <c r="K180" s="134"/>
      <c r="L180" s="134"/>
      <c r="M180" s="134"/>
      <c r="N180" s="134"/>
    </row>
    <row r="181">
      <c r="A181" s="136"/>
      <c r="B181" s="136"/>
      <c r="C181" s="136"/>
      <c r="D181" s="136"/>
      <c r="E181" s="136"/>
      <c r="F181" s="136"/>
      <c r="G181" s="136"/>
      <c r="H181" s="136"/>
      <c r="I181" s="134"/>
      <c r="J181" s="134"/>
      <c r="K181" s="134"/>
      <c r="L181" s="134"/>
      <c r="M181" s="134"/>
      <c r="N181" s="134"/>
    </row>
    <row r="182">
      <c r="A182" s="136"/>
      <c r="B182" s="136"/>
      <c r="C182" s="136"/>
      <c r="D182" s="136"/>
      <c r="E182" s="136"/>
      <c r="F182" s="136"/>
      <c r="G182" s="136"/>
      <c r="H182" s="136"/>
      <c r="I182" s="134"/>
      <c r="J182" s="134"/>
      <c r="K182" s="134"/>
      <c r="L182" s="134"/>
      <c r="M182" s="134"/>
      <c r="N182" s="134"/>
    </row>
    <row r="183">
      <c r="A183" s="136"/>
      <c r="B183" s="136"/>
      <c r="C183" s="136"/>
      <c r="D183" s="136"/>
      <c r="E183" s="136"/>
      <c r="F183" s="136"/>
      <c r="G183" s="136"/>
      <c r="H183" s="136"/>
      <c r="I183" s="134"/>
      <c r="J183" s="134"/>
      <c r="K183" s="134"/>
      <c r="L183" s="134"/>
      <c r="M183" s="134"/>
      <c r="N183" s="134"/>
    </row>
    <row r="184">
      <c r="A184" s="136"/>
      <c r="B184" s="136"/>
      <c r="C184" s="136"/>
      <c r="D184" s="136"/>
      <c r="E184" s="136"/>
      <c r="F184" s="136"/>
      <c r="G184" s="136"/>
      <c r="H184" s="136"/>
      <c r="I184" s="134"/>
      <c r="J184" s="134"/>
      <c r="K184" s="134"/>
      <c r="L184" s="134"/>
      <c r="M184" s="134"/>
      <c r="N184" s="134"/>
    </row>
    <row r="185">
      <c r="A185" s="136"/>
      <c r="B185" s="136"/>
      <c r="C185" s="136"/>
      <c r="D185" s="136"/>
      <c r="E185" s="136"/>
      <c r="F185" s="136"/>
      <c r="G185" s="136"/>
      <c r="H185" s="136"/>
      <c r="I185" s="134"/>
      <c r="J185" s="134"/>
      <c r="K185" s="134"/>
      <c r="L185" s="134"/>
      <c r="M185" s="134"/>
      <c r="N185" s="134"/>
    </row>
    <row r="186">
      <c r="A186" s="136"/>
      <c r="B186" s="136"/>
      <c r="C186" s="136"/>
      <c r="D186" s="136"/>
      <c r="E186" s="136"/>
      <c r="F186" s="136"/>
      <c r="G186" s="136"/>
      <c r="H186" s="136"/>
      <c r="I186" s="134"/>
      <c r="J186" s="134"/>
      <c r="K186" s="134"/>
      <c r="L186" s="134"/>
      <c r="M186" s="134"/>
      <c r="N186" s="134"/>
    </row>
    <row r="187">
      <c r="A187" s="136"/>
      <c r="B187" s="136"/>
      <c r="C187" s="136"/>
      <c r="D187" s="136"/>
      <c r="E187" s="136"/>
      <c r="F187" s="136"/>
      <c r="G187" s="136"/>
      <c r="H187" s="136"/>
      <c r="I187" s="134"/>
      <c r="J187" s="134"/>
      <c r="K187" s="134"/>
      <c r="L187" s="134"/>
      <c r="M187" s="134"/>
      <c r="N187" s="134"/>
    </row>
    <row r="188">
      <c r="A188" s="136"/>
      <c r="B188" s="136"/>
      <c r="C188" s="136"/>
      <c r="D188" s="136"/>
      <c r="E188" s="136"/>
      <c r="F188" s="136"/>
      <c r="G188" s="136"/>
      <c r="H188" s="136"/>
      <c r="I188" s="134"/>
      <c r="J188" s="134"/>
      <c r="K188" s="134"/>
      <c r="L188" s="134"/>
      <c r="M188" s="134"/>
      <c r="N188" s="134"/>
    </row>
    <row r="189">
      <c r="A189" s="136"/>
      <c r="B189" s="136"/>
      <c r="C189" s="136"/>
      <c r="D189" s="136"/>
      <c r="E189" s="136"/>
      <c r="F189" s="136"/>
      <c r="G189" s="136"/>
      <c r="H189" s="136"/>
      <c r="I189" s="134"/>
      <c r="J189" s="134"/>
      <c r="K189" s="134"/>
      <c r="L189" s="134"/>
      <c r="M189" s="134"/>
      <c r="N189" s="134"/>
    </row>
    <row r="190">
      <c r="A190" s="136"/>
      <c r="B190" s="136"/>
      <c r="C190" s="136"/>
      <c r="D190" s="136"/>
      <c r="E190" s="136"/>
      <c r="F190" s="136"/>
      <c r="G190" s="136"/>
      <c r="H190" s="136"/>
      <c r="I190" s="134"/>
      <c r="J190" s="134"/>
      <c r="K190" s="134"/>
      <c r="L190" s="134"/>
      <c r="M190" s="134"/>
      <c r="N190" s="134"/>
    </row>
    <row r="191">
      <c r="A191" s="136"/>
      <c r="B191" s="136"/>
      <c r="C191" s="136"/>
      <c r="D191" s="136"/>
      <c r="E191" s="136"/>
      <c r="F191" s="136"/>
      <c r="G191" s="136"/>
      <c r="H191" s="136"/>
      <c r="I191" s="134"/>
      <c r="J191" s="134"/>
      <c r="K191" s="134"/>
      <c r="L191" s="134"/>
      <c r="M191" s="134"/>
      <c r="N191" s="134"/>
    </row>
    <row r="192">
      <c r="A192" s="136"/>
      <c r="B192" s="136"/>
      <c r="C192" s="136"/>
      <c r="D192" s="136"/>
      <c r="E192" s="136"/>
      <c r="F192" s="136"/>
      <c r="G192" s="136"/>
      <c r="H192" s="136"/>
      <c r="I192" s="134"/>
      <c r="J192" s="134"/>
      <c r="K192" s="134"/>
      <c r="L192" s="134"/>
      <c r="M192" s="134"/>
      <c r="N192" s="134"/>
    </row>
    <row r="193">
      <c r="A193" s="136"/>
      <c r="B193" s="136"/>
      <c r="C193" s="136"/>
      <c r="D193" s="136"/>
      <c r="E193" s="136"/>
      <c r="F193" s="136"/>
      <c r="G193" s="136"/>
      <c r="H193" s="136"/>
      <c r="I193" s="134"/>
      <c r="J193" s="134"/>
      <c r="K193" s="134"/>
      <c r="L193" s="134"/>
      <c r="M193" s="134"/>
      <c r="N193" s="134"/>
    </row>
    <row r="194">
      <c r="A194" s="136"/>
      <c r="B194" s="136"/>
      <c r="C194" s="136"/>
      <c r="D194" s="136"/>
      <c r="E194" s="136"/>
      <c r="F194" s="136"/>
      <c r="G194" s="136"/>
      <c r="H194" s="136"/>
      <c r="I194" s="134"/>
      <c r="J194" s="134"/>
      <c r="K194" s="134"/>
      <c r="L194" s="134"/>
      <c r="M194" s="134"/>
      <c r="N194" s="134"/>
    </row>
    <row r="195">
      <c r="A195" s="136"/>
      <c r="B195" s="136"/>
      <c r="C195" s="136"/>
      <c r="D195" s="136"/>
      <c r="E195" s="136"/>
      <c r="F195" s="136"/>
      <c r="G195" s="136"/>
      <c r="H195" s="136"/>
      <c r="I195" s="134"/>
      <c r="J195" s="134"/>
      <c r="K195" s="134"/>
      <c r="L195" s="134"/>
      <c r="M195" s="134"/>
      <c r="N195" s="134"/>
    </row>
    <row r="196">
      <c r="A196" s="136"/>
      <c r="B196" s="136"/>
      <c r="C196" s="136"/>
      <c r="D196" s="136"/>
      <c r="E196" s="136"/>
      <c r="F196" s="136"/>
      <c r="G196" s="136"/>
      <c r="H196" s="136"/>
      <c r="I196" s="134"/>
      <c r="J196" s="134"/>
      <c r="K196" s="134"/>
      <c r="L196" s="134"/>
      <c r="M196" s="134"/>
      <c r="N196" s="134"/>
    </row>
    <row r="197">
      <c r="A197" s="136"/>
      <c r="B197" s="136"/>
      <c r="C197" s="136"/>
      <c r="D197" s="136"/>
      <c r="E197" s="136"/>
      <c r="F197" s="136"/>
      <c r="G197" s="136"/>
      <c r="H197" s="136"/>
      <c r="I197" s="134"/>
      <c r="J197" s="134"/>
      <c r="K197" s="134"/>
      <c r="L197" s="134"/>
      <c r="M197" s="134"/>
      <c r="N197" s="134"/>
    </row>
    <row r="198">
      <c r="A198" s="136"/>
      <c r="B198" s="136"/>
      <c r="C198" s="136"/>
      <c r="D198" s="136"/>
      <c r="E198" s="136"/>
      <c r="F198" s="136"/>
      <c r="G198" s="136"/>
      <c r="H198" s="136"/>
      <c r="I198" s="134"/>
      <c r="J198" s="134"/>
      <c r="K198" s="134"/>
      <c r="L198" s="134"/>
      <c r="M198" s="134"/>
      <c r="N198" s="134"/>
    </row>
    <row r="199">
      <c r="A199" s="136"/>
      <c r="B199" s="136"/>
      <c r="C199" s="136"/>
      <c r="D199" s="136"/>
      <c r="E199" s="136"/>
      <c r="F199" s="136"/>
      <c r="G199" s="136"/>
      <c r="H199" s="136"/>
      <c r="I199" s="134"/>
      <c r="J199" s="134"/>
      <c r="K199" s="134"/>
      <c r="L199" s="134"/>
      <c r="M199" s="134"/>
      <c r="N199" s="134"/>
    </row>
    <row r="200">
      <c r="A200" s="136"/>
      <c r="B200" s="136"/>
      <c r="C200" s="136"/>
      <c r="D200" s="136"/>
      <c r="E200" s="136"/>
      <c r="F200" s="136"/>
      <c r="G200" s="136"/>
      <c r="H200" s="136"/>
      <c r="I200" s="134"/>
      <c r="J200" s="134"/>
      <c r="K200" s="134"/>
      <c r="L200" s="134"/>
      <c r="M200" s="134"/>
      <c r="N200" s="134"/>
    </row>
    <row r="201">
      <c r="A201" s="136"/>
      <c r="B201" s="136"/>
      <c r="C201" s="136"/>
      <c r="D201" s="136"/>
      <c r="E201" s="136"/>
      <c r="F201" s="136"/>
      <c r="G201" s="136"/>
      <c r="H201" s="136"/>
      <c r="I201" s="134"/>
      <c r="J201" s="134"/>
      <c r="K201" s="134"/>
      <c r="L201" s="134"/>
      <c r="M201" s="134"/>
      <c r="N201" s="134"/>
    </row>
    <row r="202">
      <c r="A202" s="136"/>
      <c r="B202" s="136"/>
      <c r="C202" s="136"/>
      <c r="D202" s="136"/>
      <c r="E202" s="136"/>
      <c r="F202" s="136"/>
      <c r="G202" s="136"/>
      <c r="H202" s="136"/>
      <c r="I202" s="134"/>
      <c r="J202" s="134"/>
      <c r="K202" s="134"/>
      <c r="L202" s="134"/>
      <c r="M202" s="134"/>
      <c r="N202" s="134"/>
    </row>
    <row r="203">
      <c r="A203" s="136"/>
      <c r="B203" s="136"/>
      <c r="C203" s="136"/>
      <c r="D203" s="136"/>
      <c r="E203" s="136"/>
      <c r="F203" s="136"/>
      <c r="G203" s="136"/>
      <c r="H203" s="136"/>
      <c r="I203" s="134"/>
      <c r="J203" s="134"/>
      <c r="K203" s="134"/>
      <c r="L203" s="134"/>
      <c r="M203" s="134"/>
      <c r="N203" s="134"/>
    </row>
    <row r="204">
      <c r="A204" s="136"/>
      <c r="B204" s="136"/>
      <c r="C204" s="136"/>
      <c r="D204" s="136"/>
      <c r="E204" s="136"/>
      <c r="F204" s="136"/>
      <c r="G204" s="136"/>
      <c r="H204" s="136"/>
      <c r="I204" s="134"/>
      <c r="J204" s="134"/>
      <c r="K204" s="134"/>
      <c r="L204" s="134"/>
      <c r="M204" s="134"/>
      <c r="N204" s="134"/>
    </row>
    <row r="205">
      <c r="A205" s="136"/>
      <c r="B205" s="136"/>
      <c r="C205" s="136"/>
      <c r="D205" s="136"/>
      <c r="E205" s="136"/>
      <c r="F205" s="136"/>
      <c r="G205" s="136"/>
      <c r="H205" s="136"/>
      <c r="I205" s="134"/>
      <c r="J205" s="134"/>
      <c r="K205" s="134"/>
      <c r="L205" s="134"/>
      <c r="M205" s="134"/>
      <c r="N205" s="134"/>
    </row>
    <row r="206">
      <c r="A206" s="136"/>
      <c r="B206" s="136"/>
      <c r="C206" s="136"/>
      <c r="D206" s="136"/>
      <c r="E206" s="136"/>
      <c r="F206" s="136"/>
      <c r="G206" s="136"/>
      <c r="H206" s="136"/>
      <c r="I206" s="134"/>
      <c r="J206" s="134"/>
      <c r="K206" s="134"/>
      <c r="L206" s="134"/>
      <c r="M206" s="134"/>
      <c r="N206" s="134"/>
    </row>
    <row r="207">
      <c r="A207" s="136"/>
      <c r="B207" s="136"/>
      <c r="C207" s="136"/>
      <c r="D207" s="136"/>
      <c r="E207" s="136"/>
      <c r="F207" s="136"/>
      <c r="G207" s="136"/>
      <c r="H207" s="136"/>
      <c r="I207" s="134"/>
      <c r="J207" s="134"/>
      <c r="K207" s="134"/>
      <c r="L207" s="134"/>
      <c r="M207" s="134"/>
      <c r="N207" s="134"/>
    </row>
    <row r="208">
      <c r="A208" s="136"/>
      <c r="B208" s="136"/>
      <c r="C208" s="136"/>
      <c r="D208" s="136"/>
      <c r="E208" s="136"/>
      <c r="F208" s="136"/>
      <c r="G208" s="136"/>
      <c r="H208" s="136"/>
      <c r="I208" s="134"/>
      <c r="J208" s="134"/>
      <c r="K208" s="134"/>
      <c r="L208" s="134"/>
      <c r="M208" s="134"/>
      <c r="N208" s="134"/>
    </row>
    <row r="209">
      <c r="A209" s="136"/>
      <c r="B209" s="136"/>
      <c r="C209" s="136"/>
      <c r="D209" s="136"/>
      <c r="E209" s="136"/>
      <c r="F209" s="136"/>
      <c r="G209" s="136"/>
      <c r="H209" s="136"/>
      <c r="I209" s="134"/>
      <c r="J209" s="134"/>
      <c r="K209" s="134"/>
      <c r="L209" s="134"/>
      <c r="M209" s="134"/>
      <c r="N209" s="134"/>
    </row>
    <row r="210">
      <c r="A210" s="136"/>
      <c r="B210" s="136"/>
      <c r="C210" s="136"/>
      <c r="D210" s="136"/>
      <c r="E210" s="136"/>
      <c r="F210" s="136"/>
      <c r="G210" s="136"/>
      <c r="H210" s="136"/>
      <c r="I210" s="134"/>
      <c r="J210" s="134"/>
      <c r="K210" s="134"/>
      <c r="L210" s="134"/>
      <c r="M210" s="134"/>
      <c r="N210" s="134"/>
    </row>
    <row r="211">
      <c r="A211" s="136"/>
      <c r="B211" s="136"/>
      <c r="C211" s="136"/>
      <c r="D211" s="136"/>
      <c r="E211" s="136"/>
      <c r="F211" s="136"/>
      <c r="G211" s="136"/>
      <c r="H211" s="136"/>
      <c r="I211" s="134"/>
      <c r="J211" s="134"/>
      <c r="K211" s="134"/>
      <c r="L211" s="134"/>
      <c r="M211" s="134"/>
      <c r="N211" s="134"/>
    </row>
    <row r="212">
      <c r="A212" s="136"/>
      <c r="B212" s="136"/>
      <c r="C212" s="136"/>
      <c r="D212" s="136"/>
      <c r="E212" s="136"/>
      <c r="F212" s="136"/>
      <c r="G212" s="136"/>
      <c r="H212" s="136"/>
      <c r="I212" s="134"/>
      <c r="J212" s="134"/>
      <c r="K212" s="134"/>
      <c r="L212" s="134"/>
      <c r="M212" s="134"/>
      <c r="N212" s="134"/>
    </row>
    <row r="213">
      <c r="A213" s="136"/>
      <c r="B213" s="136"/>
      <c r="C213" s="136"/>
      <c r="D213" s="136"/>
      <c r="E213" s="136"/>
      <c r="F213" s="136"/>
      <c r="G213" s="136"/>
      <c r="H213" s="136"/>
      <c r="I213" s="134"/>
      <c r="J213" s="134"/>
      <c r="K213" s="134"/>
      <c r="L213" s="134"/>
      <c r="M213" s="134"/>
      <c r="N213" s="134"/>
    </row>
    <row r="214">
      <c r="A214" s="136"/>
      <c r="B214" s="136"/>
      <c r="C214" s="136"/>
      <c r="D214" s="136"/>
      <c r="E214" s="136"/>
      <c r="F214" s="136"/>
      <c r="G214" s="136"/>
      <c r="H214" s="136"/>
      <c r="I214" s="134"/>
      <c r="J214" s="134"/>
      <c r="K214" s="134"/>
      <c r="L214" s="134"/>
      <c r="M214" s="134"/>
      <c r="N214" s="134"/>
    </row>
    <row r="215">
      <c r="A215" s="136"/>
      <c r="B215" s="136"/>
      <c r="C215" s="136"/>
      <c r="D215" s="136"/>
      <c r="E215" s="136"/>
      <c r="F215" s="136"/>
      <c r="G215" s="136"/>
      <c r="H215" s="136"/>
      <c r="I215" s="134"/>
      <c r="J215" s="134"/>
      <c r="K215" s="134"/>
      <c r="L215" s="134"/>
      <c r="M215" s="134"/>
      <c r="N215" s="134"/>
    </row>
    <row r="216">
      <c r="A216" s="136"/>
      <c r="B216" s="136"/>
      <c r="C216" s="136"/>
      <c r="D216" s="136"/>
      <c r="E216" s="136"/>
      <c r="F216" s="136"/>
      <c r="G216" s="136"/>
      <c r="H216" s="136"/>
      <c r="I216" s="134"/>
      <c r="J216" s="134"/>
      <c r="K216" s="134"/>
      <c r="L216" s="134"/>
      <c r="M216" s="134"/>
      <c r="N216" s="134"/>
    </row>
    <row r="217">
      <c r="A217" s="136"/>
      <c r="B217" s="136"/>
      <c r="C217" s="136"/>
      <c r="D217" s="136"/>
      <c r="E217" s="136"/>
      <c r="F217" s="136"/>
      <c r="G217" s="136"/>
      <c r="H217" s="136"/>
      <c r="I217" s="134"/>
      <c r="J217" s="134"/>
      <c r="K217" s="134"/>
      <c r="L217" s="134"/>
      <c r="M217" s="134"/>
      <c r="N217" s="134"/>
    </row>
    <row r="218">
      <c r="A218" s="136"/>
      <c r="B218" s="136"/>
      <c r="C218" s="136"/>
      <c r="D218" s="136"/>
      <c r="E218" s="136"/>
      <c r="F218" s="136"/>
      <c r="G218" s="136"/>
      <c r="H218" s="136"/>
      <c r="I218" s="134"/>
      <c r="J218" s="134"/>
      <c r="K218" s="134"/>
      <c r="L218" s="134"/>
      <c r="M218" s="134"/>
      <c r="N218" s="134"/>
    </row>
    <row r="219">
      <c r="A219" s="136"/>
      <c r="B219" s="136"/>
      <c r="C219" s="136"/>
      <c r="D219" s="136"/>
      <c r="E219" s="136"/>
      <c r="F219" s="136"/>
      <c r="G219" s="136"/>
      <c r="H219" s="136"/>
      <c r="I219" s="134"/>
      <c r="J219" s="134"/>
      <c r="K219" s="134"/>
      <c r="L219" s="134"/>
      <c r="M219" s="134"/>
      <c r="N219" s="134"/>
    </row>
    <row r="220">
      <c r="A220" s="136"/>
      <c r="B220" s="136"/>
      <c r="C220" s="136"/>
      <c r="D220" s="136"/>
      <c r="E220" s="136"/>
      <c r="F220" s="136"/>
      <c r="G220" s="136"/>
      <c r="H220" s="136"/>
      <c r="I220" s="134"/>
      <c r="J220" s="134"/>
      <c r="K220" s="134"/>
      <c r="L220" s="134"/>
      <c r="M220" s="134"/>
      <c r="N220" s="134"/>
    </row>
    <row r="221">
      <c r="A221" s="136"/>
      <c r="B221" s="136"/>
      <c r="C221" s="136"/>
      <c r="D221" s="136"/>
      <c r="E221" s="136"/>
      <c r="F221" s="136"/>
      <c r="G221" s="136"/>
      <c r="H221" s="136"/>
      <c r="I221" s="134"/>
      <c r="J221" s="134"/>
      <c r="K221" s="134"/>
      <c r="L221" s="134"/>
      <c r="M221" s="134"/>
      <c r="N221" s="134"/>
    </row>
    <row r="222">
      <c r="A222" s="136"/>
      <c r="B222" s="136"/>
      <c r="C222" s="136"/>
      <c r="D222" s="136"/>
      <c r="E222" s="136"/>
      <c r="F222" s="136"/>
      <c r="G222" s="136"/>
      <c r="H222" s="136"/>
      <c r="I222" s="134"/>
      <c r="J222" s="134"/>
      <c r="K222" s="134"/>
      <c r="L222" s="134"/>
      <c r="M222" s="134"/>
      <c r="N222" s="134"/>
    </row>
    <row r="223">
      <c r="A223" s="136"/>
      <c r="B223" s="136"/>
      <c r="C223" s="136"/>
      <c r="D223" s="136"/>
      <c r="E223" s="136"/>
      <c r="F223" s="136"/>
      <c r="G223" s="136"/>
      <c r="H223" s="136"/>
      <c r="I223" s="134"/>
      <c r="J223" s="134"/>
      <c r="K223" s="134"/>
      <c r="L223" s="134"/>
      <c r="M223" s="134"/>
      <c r="N223" s="134"/>
    </row>
    <row r="224">
      <c r="A224" s="136"/>
      <c r="B224" s="136"/>
      <c r="C224" s="136"/>
      <c r="D224" s="136"/>
      <c r="E224" s="136"/>
      <c r="F224" s="136"/>
      <c r="G224" s="136"/>
      <c r="H224" s="136"/>
      <c r="I224" s="134"/>
      <c r="J224" s="134"/>
      <c r="K224" s="134"/>
      <c r="L224" s="134"/>
      <c r="M224" s="134"/>
      <c r="N224" s="134"/>
    </row>
    <row r="225">
      <c r="A225" s="136"/>
      <c r="B225" s="136"/>
      <c r="C225" s="136"/>
      <c r="D225" s="136"/>
      <c r="E225" s="136"/>
      <c r="F225" s="136"/>
      <c r="G225" s="136"/>
      <c r="H225" s="136"/>
      <c r="I225" s="134"/>
      <c r="J225" s="134"/>
      <c r="K225" s="134"/>
      <c r="L225" s="134"/>
      <c r="M225" s="134"/>
      <c r="N225" s="134"/>
    </row>
    <row r="226">
      <c r="A226" s="136"/>
      <c r="B226" s="136"/>
      <c r="C226" s="136"/>
      <c r="D226" s="136"/>
      <c r="E226" s="136"/>
      <c r="F226" s="136"/>
      <c r="G226" s="136"/>
      <c r="H226" s="136"/>
      <c r="I226" s="134"/>
      <c r="J226" s="134"/>
      <c r="K226" s="134"/>
      <c r="L226" s="134"/>
      <c r="M226" s="134"/>
      <c r="N226" s="134"/>
    </row>
    <row r="227">
      <c r="A227" s="136"/>
      <c r="B227" s="136"/>
      <c r="C227" s="136"/>
      <c r="D227" s="136"/>
      <c r="E227" s="136"/>
      <c r="F227" s="136"/>
      <c r="G227" s="136"/>
      <c r="H227" s="136"/>
      <c r="I227" s="134"/>
      <c r="J227" s="134"/>
      <c r="K227" s="134"/>
      <c r="L227" s="134"/>
      <c r="M227" s="134"/>
      <c r="N227" s="134"/>
    </row>
    <row r="228">
      <c r="A228" s="136"/>
      <c r="B228" s="136"/>
      <c r="C228" s="136"/>
      <c r="D228" s="136"/>
      <c r="E228" s="136"/>
      <c r="F228" s="136"/>
      <c r="G228" s="136"/>
      <c r="H228" s="136"/>
      <c r="I228" s="134"/>
      <c r="J228" s="134"/>
      <c r="K228" s="134"/>
      <c r="L228" s="134"/>
      <c r="M228" s="134"/>
      <c r="N228" s="134"/>
    </row>
    <row r="229">
      <c r="A229" s="136"/>
      <c r="B229" s="136"/>
      <c r="C229" s="136"/>
      <c r="D229" s="136"/>
      <c r="E229" s="136"/>
      <c r="F229" s="136"/>
      <c r="G229" s="136"/>
      <c r="H229" s="136"/>
      <c r="I229" s="134"/>
      <c r="J229" s="134"/>
      <c r="K229" s="134"/>
      <c r="L229" s="134"/>
      <c r="M229" s="134"/>
      <c r="N229" s="134"/>
    </row>
    <row r="230">
      <c r="A230" s="136"/>
      <c r="B230" s="136"/>
      <c r="C230" s="136"/>
      <c r="D230" s="136"/>
      <c r="E230" s="136"/>
      <c r="F230" s="136"/>
      <c r="G230" s="136"/>
      <c r="H230" s="136"/>
      <c r="I230" s="134"/>
      <c r="J230" s="134"/>
      <c r="K230" s="134"/>
      <c r="L230" s="134"/>
      <c r="M230" s="134"/>
      <c r="N230" s="134"/>
    </row>
    <row r="231">
      <c r="A231" s="136"/>
      <c r="B231" s="136"/>
      <c r="C231" s="136"/>
      <c r="D231" s="136"/>
      <c r="E231" s="136"/>
      <c r="F231" s="136"/>
      <c r="G231" s="136"/>
      <c r="H231" s="136"/>
      <c r="I231" s="134"/>
      <c r="J231" s="134"/>
      <c r="K231" s="134"/>
      <c r="L231" s="134"/>
      <c r="M231" s="134"/>
      <c r="N231" s="134"/>
    </row>
    <row r="232">
      <c r="A232" s="136"/>
      <c r="B232" s="136"/>
      <c r="C232" s="136"/>
      <c r="D232" s="136"/>
      <c r="E232" s="136"/>
      <c r="F232" s="136"/>
      <c r="G232" s="136"/>
      <c r="H232" s="136"/>
      <c r="I232" s="134"/>
      <c r="J232" s="134"/>
      <c r="K232" s="134"/>
      <c r="L232" s="134"/>
      <c r="M232" s="134"/>
      <c r="N232" s="134"/>
    </row>
    <row r="233">
      <c r="A233" s="136"/>
      <c r="B233" s="136"/>
      <c r="C233" s="136"/>
      <c r="D233" s="136"/>
      <c r="E233" s="136"/>
      <c r="F233" s="136"/>
      <c r="G233" s="136"/>
      <c r="H233" s="136"/>
      <c r="I233" s="134"/>
      <c r="J233" s="134"/>
      <c r="K233" s="134"/>
      <c r="L233" s="134"/>
      <c r="M233" s="134"/>
      <c r="N233" s="134"/>
    </row>
    <row r="234">
      <c r="A234" s="136"/>
      <c r="B234" s="136"/>
      <c r="C234" s="136"/>
      <c r="D234" s="136"/>
      <c r="E234" s="136"/>
      <c r="F234" s="136"/>
      <c r="G234" s="136"/>
      <c r="H234" s="136"/>
      <c r="I234" s="134"/>
      <c r="J234" s="134"/>
      <c r="K234" s="134"/>
      <c r="L234" s="134"/>
      <c r="M234" s="134"/>
      <c r="N234" s="134"/>
    </row>
    <row r="235">
      <c r="A235" s="136"/>
      <c r="B235" s="136"/>
      <c r="C235" s="136"/>
      <c r="D235" s="136"/>
      <c r="E235" s="136"/>
      <c r="F235" s="136"/>
      <c r="G235" s="136"/>
      <c r="H235" s="136"/>
      <c r="I235" s="134"/>
      <c r="J235" s="134"/>
      <c r="K235" s="134"/>
      <c r="L235" s="134"/>
      <c r="M235" s="134"/>
      <c r="N235" s="134"/>
    </row>
    <row r="236">
      <c r="A236" s="136"/>
      <c r="B236" s="136"/>
      <c r="C236" s="136"/>
      <c r="D236" s="136"/>
      <c r="E236" s="136"/>
      <c r="F236" s="136"/>
      <c r="G236" s="136"/>
      <c r="H236" s="136"/>
      <c r="I236" s="134"/>
      <c r="J236" s="134"/>
      <c r="K236" s="134"/>
      <c r="L236" s="134"/>
      <c r="M236" s="134"/>
      <c r="N236" s="134"/>
    </row>
    <row r="237">
      <c r="A237" s="136"/>
      <c r="B237" s="136"/>
      <c r="C237" s="136"/>
      <c r="D237" s="136"/>
      <c r="E237" s="136"/>
      <c r="F237" s="136"/>
      <c r="G237" s="136"/>
      <c r="H237" s="136"/>
      <c r="I237" s="134"/>
      <c r="J237" s="134"/>
      <c r="K237" s="134"/>
      <c r="L237" s="134"/>
      <c r="M237" s="134"/>
      <c r="N237" s="134"/>
    </row>
    <row r="238">
      <c r="A238" s="136"/>
      <c r="B238" s="136"/>
      <c r="C238" s="136"/>
      <c r="D238" s="136"/>
      <c r="E238" s="136"/>
      <c r="F238" s="136"/>
      <c r="G238" s="136"/>
      <c r="H238" s="136"/>
      <c r="I238" s="134"/>
      <c r="J238" s="134"/>
      <c r="K238" s="134"/>
      <c r="L238" s="134"/>
      <c r="M238" s="134"/>
      <c r="N238" s="134"/>
    </row>
    <row r="239">
      <c r="A239" s="136"/>
      <c r="B239" s="136"/>
      <c r="C239" s="136"/>
      <c r="D239" s="136"/>
      <c r="E239" s="136"/>
      <c r="F239" s="136"/>
      <c r="G239" s="136"/>
      <c r="H239" s="136"/>
      <c r="I239" s="134"/>
      <c r="J239" s="134"/>
      <c r="K239" s="134"/>
      <c r="L239" s="134"/>
      <c r="M239" s="134"/>
      <c r="N239" s="134"/>
    </row>
    <row r="240">
      <c r="A240" s="136"/>
      <c r="B240" s="136"/>
      <c r="C240" s="136"/>
      <c r="D240" s="136"/>
      <c r="E240" s="136"/>
      <c r="F240" s="136"/>
      <c r="G240" s="136"/>
      <c r="H240" s="136"/>
      <c r="I240" s="134"/>
      <c r="J240" s="134"/>
      <c r="K240" s="134"/>
      <c r="L240" s="134"/>
      <c r="M240" s="134"/>
      <c r="N240" s="134"/>
    </row>
    <row r="241">
      <c r="A241" s="136"/>
      <c r="B241" s="136"/>
      <c r="C241" s="136"/>
      <c r="D241" s="136"/>
      <c r="E241" s="136"/>
      <c r="F241" s="136"/>
      <c r="G241" s="136"/>
      <c r="H241" s="136"/>
      <c r="I241" s="134"/>
      <c r="J241" s="134"/>
      <c r="K241" s="134"/>
      <c r="L241" s="134"/>
      <c r="M241" s="134"/>
      <c r="N241" s="134"/>
    </row>
    <row r="242">
      <c r="A242" s="136"/>
      <c r="B242" s="136"/>
      <c r="C242" s="136"/>
      <c r="D242" s="136"/>
      <c r="E242" s="136"/>
      <c r="F242" s="136"/>
      <c r="G242" s="136"/>
      <c r="H242" s="136"/>
      <c r="I242" s="134"/>
      <c r="J242" s="134"/>
      <c r="K242" s="134"/>
      <c r="L242" s="134"/>
      <c r="M242" s="134"/>
      <c r="N242" s="134"/>
    </row>
    <row r="243">
      <c r="A243" s="136"/>
      <c r="B243" s="136"/>
      <c r="C243" s="136"/>
      <c r="D243" s="136"/>
      <c r="E243" s="136"/>
      <c r="F243" s="136"/>
      <c r="G243" s="136"/>
      <c r="H243" s="136"/>
      <c r="I243" s="134"/>
      <c r="J243" s="134"/>
      <c r="K243" s="134"/>
      <c r="L243" s="134"/>
      <c r="M243" s="134"/>
      <c r="N243" s="134"/>
    </row>
    <row r="244">
      <c r="A244" s="136"/>
      <c r="B244" s="136"/>
      <c r="C244" s="136"/>
      <c r="D244" s="136"/>
      <c r="E244" s="136"/>
      <c r="F244" s="136"/>
      <c r="G244" s="136"/>
      <c r="H244" s="136"/>
      <c r="I244" s="134"/>
      <c r="J244" s="134"/>
      <c r="K244" s="134"/>
      <c r="L244" s="134"/>
      <c r="M244" s="134"/>
      <c r="N244" s="134"/>
    </row>
    <row r="245">
      <c r="A245" s="136"/>
      <c r="B245" s="136"/>
      <c r="C245" s="136"/>
      <c r="D245" s="136"/>
      <c r="E245" s="136"/>
      <c r="F245" s="136"/>
      <c r="G245" s="136"/>
      <c r="H245" s="136"/>
      <c r="I245" s="134"/>
      <c r="J245" s="134"/>
      <c r="K245" s="134"/>
      <c r="L245" s="134"/>
      <c r="M245" s="134"/>
      <c r="N245" s="134"/>
    </row>
    <row r="246">
      <c r="A246" s="136"/>
      <c r="B246" s="136"/>
      <c r="C246" s="136"/>
      <c r="D246" s="136"/>
      <c r="E246" s="136"/>
      <c r="F246" s="136"/>
      <c r="G246" s="136"/>
      <c r="H246" s="136"/>
      <c r="I246" s="134"/>
      <c r="J246" s="134"/>
      <c r="K246" s="134"/>
      <c r="L246" s="134"/>
      <c r="M246" s="134"/>
      <c r="N246" s="134"/>
    </row>
    <row r="247">
      <c r="A247" s="136"/>
      <c r="B247" s="136"/>
      <c r="C247" s="136"/>
      <c r="D247" s="136"/>
      <c r="E247" s="136"/>
      <c r="F247" s="136"/>
      <c r="G247" s="136"/>
      <c r="H247" s="136"/>
      <c r="I247" s="134"/>
      <c r="J247" s="134"/>
      <c r="K247" s="134"/>
      <c r="L247" s="134"/>
      <c r="M247" s="134"/>
      <c r="N247" s="134"/>
    </row>
    <row r="248">
      <c r="A248" s="136"/>
      <c r="B248" s="136"/>
      <c r="C248" s="136"/>
      <c r="D248" s="136"/>
      <c r="E248" s="136"/>
      <c r="F248" s="136"/>
      <c r="G248" s="136"/>
      <c r="H248" s="136"/>
      <c r="I248" s="134"/>
      <c r="J248" s="134"/>
      <c r="K248" s="134"/>
      <c r="L248" s="134"/>
      <c r="M248" s="134"/>
      <c r="N248" s="134"/>
    </row>
    <row r="249">
      <c r="A249" s="136"/>
      <c r="B249" s="136"/>
      <c r="C249" s="136"/>
      <c r="D249" s="136"/>
      <c r="E249" s="136"/>
      <c r="F249" s="136"/>
      <c r="G249" s="136"/>
      <c r="H249" s="136"/>
      <c r="I249" s="134"/>
      <c r="J249" s="134"/>
      <c r="K249" s="134"/>
      <c r="L249" s="134"/>
      <c r="M249" s="134"/>
      <c r="N249" s="134"/>
    </row>
    <row r="250">
      <c r="A250" s="136"/>
      <c r="B250" s="136"/>
      <c r="C250" s="136"/>
      <c r="D250" s="136"/>
      <c r="E250" s="136"/>
      <c r="F250" s="136"/>
      <c r="G250" s="136"/>
      <c r="H250" s="136"/>
      <c r="I250" s="134"/>
      <c r="J250" s="134"/>
      <c r="K250" s="134"/>
      <c r="L250" s="134"/>
      <c r="M250" s="134"/>
      <c r="N250" s="134"/>
    </row>
    <row r="251">
      <c r="A251" s="136"/>
      <c r="B251" s="136"/>
      <c r="C251" s="136"/>
      <c r="D251" s="136"/>
      <c r="E251" s="136"/>
      <c r="F251" s="136"/>
      <c r="G251" s="136"/>
      <c r="H251" s="136"/>
      <c r="I251" s="134"/>
      <c r="J251" s="134"/>
      <c r="K251" s="134"/>
      <c r="L251" s="134"/>
      <c r="M251" s="134"/>
      <c r="N251" s="134"/>
    </row>
    <row r="252">
      <c r="A252" s="136"/>
      <c r="B252" s="136"/>
      <c r="C252" s="136"/>
      <c r="D252" s="136"/>
      <c r="E252" s="136"/>
      <c r="F252" s="136"/>
      <c r="G252" s="136"/>
      <c r="H252" s="136"/>
      <c r="I252" s="134"/>
      <c r="J252" s="134"/>
      <c r="K252" s="134"/>
      <c r="L252" s="134"/>
      <c r="M252" s="134"/>
      <c r="N252" s="134"/>
    </row>
    <row r="253">
      <c r="A253" s="136"/>
      <c r="B253" s="136"/>
      <c r="C253" s="136"/>
      <c r="D253" s="136"/>
      <c r="E253" s="136"/>
      <c r="F253" s="136"/>
      <c r="G253" s="136"/>
      <c r="H253" s="136"/>
      <c r="I253" s="134"/>
      <c r="J253" s="134"/>
      <c r="K253" s="134"/>
      <c r="L253" s="134"/>
      <c r="M253" s="134"/>
      <c r="N253" s="134"/>
    </row>
    <row r="254">
      <c r="A254" s="136"/>
      <c r="B254" s="136"/>
      <c r="C254" s="136"/>
      <c r="D254" s="136"/>
      <c r="E254" s="136"/>
      <c r="F254" s="136"/>
      <c r="G254" s="136"/>
      <c r="H254" s="136"/>
      <c r="I254" s="134"/>
      <c r="J254" s="134"/>
      <c r="K254" s="134"/>
      <c r="L254" s="134"/>
      <c r="M254" s="134"/>
      <c r="N254" s="134"/>
    </row>
    <row r="255">
      <c r="A255" s="136"/>
      <c r="B255" s="136"/>
      <c r="C255" s="136"/>
      <c r="D255" s="136"/>
      <c r="E255" s="136"/>
      <c r="F255" s="136"/>
      <c r="G255" s="136"/>
      <c r="H255" s="136"/>
      <c r="I255" s="134"/>
      <c r="J255" s="134"/>
      <c r="K255" s="134"/>
      <c r="L255" s="134"/>
      <c r="M255" s="134"/>
      <c r="N255" s="134"/>
    </row>
    <row r="256">
      <c r="A256" s="136"/>
      <c r="B256" s="136"/>
      <c r="C256" s="136"/>
      <c r="D256" s="136"/>
      <c r="E256" s="136"/>
      <c r="F256" s="136"/>
      <c r="G256" s="136"/>
      <c r="H256" s="136"/>
      <c r="I256" s="134"/>
      <c r="J256" s="134"/>
      <c r="K256" s="134"/>
      <c r="L256" s="134"/>
      <c r="M256" s="134"/>
      <c r="N256" s="134"/>
    </row>
    <row r="257">
      <c r="A257" s="136"/>
      <c r="B257" s="136"/>
      <c r="C257" s="136"/>
      <c r="D257" s="136"/>
      <c r="E257" s="136"/>
      <c r="F257" s="136"/>
      <c r="G257" s="136"/>
      <c r="H257" s="136"/>
      <c r="I257" s="134"/>
      <c r="J257" s="134"/>
      <c r="K257" s="134"/>
      <c r="L257" s="134"/>
      <c r="M257" s="134"/>
      <c r="N257" s="134"/>
    </row>
    <row r="258">
      <c r="A258" s="136"/>
      <c r="B258" s="136"/>
      <c r="C258" s="136"/>
      <c r="D258" s="136"/>
      <c r="E258" s="136"/>
      <c r="F258" s="136"/>
      <c r="G258" s="136"/>
      <c r="H258" s="136"/>
      <c r="I258" s="134"/>
      <c r="J258" s="134"/>
      <c r="K258" s="134"/>
      <c r="L258" s="134"/>
      <c r="M258" s="134"/>
      <c r="N258" s="134"/>
    </row>
    <row r="259">
      <c r="A259" s="136"/>
      <c r="B259" s="136"/>
      <c r="C259" s="136"/>
      <c r="D259" s="136"/>
      <c r="E259" s="136"/>
      <c r="F259" s="136"/>
      <c r="G259" s="136"/>
      <c r="H259" s="136"/>
      <c r="I259" s="134"/>
      <c r="J259" s="134"/>
      <c r="K259" s="134"/>
      <c r="L259" s="134"/>
      <c r="M259" s="134"/>
      <c r="N259" s="134"/>
    </row>
    <row r="260">
      <c r="A260" s="136"/>
      <c r="B260" s="136"/>
      <c r="C260" s="136"/>
      <c r="D260" s="136"/>
      <c r="E260" s="136"/>
      <c r="F260" s="136"/>
      <c r="G260" s="136"/>
      <c r="H260" s="136"/>
      <c r="I260" s="134"/>
      <c r="J260" s="134"/>
      <c r="K260" s="134"/>
      <c r="L260" s="134"/>
      <c r="M260" s="134"/>
      <c r="N260" s="134"/>
    </row>
    <row r="261">
      <c r="A261" s="136"/>
      <c r="B261" s="136"/>
      <c r="C261" s="136"/>
      <c r="D261" s="136"/>
      <c r="E261" s="136"/>
      <c r="F261" s="136"/>
      <c r="G261" s="136"/>
      <c r="H261" s="136"/>
      <c r="I261" s="134"/>
      <c r="J261" s="134"/>
      <c r="K261" s="134"/>
      <c r="L261" s="134"/>
      <c r="M261" s="134"/>
      <c r="N261" s="134"/>
    </row>
    <row r="262">
      <c r="A262" s="136"/>
      <c r="B262" s="136"/>
      <c r="C262" s="136"/>
      <c r="D262" s="136"/>
      <c r="E262" s="136"/>
      <c r="F262" s="136"/>
      <c r="G262" s="136"/>
      <c r="H262" s="136"/>
      <c r="I262" s="134"/>
      <c r="J262" s="134"/>
      <c r="K262" s="134"/>
      <c r="L262" s="134"/>
      <c r="M262" s="134"/>
      <c r="N262" s="134"/>
    </row>
    <row r="263">
      <c r="A263" s="136"/>
      <c r="B263" s="136"/>
      <c r="C263" s="136"/>
      <c r="D263" s="136"/>
      <c r="E263" s="136"/>
      <c r="F263" s="136"/>
      <c r="G263" s="136"/>
      <c r="H263" s="136"/>
      <c r="I263" s="134"/>
      <c r="J263" s="134"/>
      <c r="K263" s="134"/>
      <c r="L263" s="134"/>
      <c r="M263" s="134"/>
      <c r="N263" s="134"/>
    </row>
    <row r="264">
      <c r="A264" s="136"/>
      <c r="B264" s="136"/>
      <c r="C264" s="136"/>
      <c r="D264" s="136"/>
      <c r="E264" s="136"/>
      <c r="F264" s="136"/>
      <c r="G264" s="136"/>
      <c r="H264" s="136"/>
      <c r="I264" s="134"/>
      <c r="J264" s="134"/>
      <c r="K264" s="134"/>
      <c r="L264" s="134"/>
      <c r="M264" s="134"/>
      <c r="N264" s="134"/>
    </row>
    <row r="265">
      <c r="A265" s="136"/>
      <c r="B265" s="136"/>
      <c r="C265" s="136"/>
      <c r="D265" s="136"/>
      <c r="E265" s="136"/>
      <c r="F265" s="136"/>
      <c r="G265" s="136"/>
      <c r="H265" s="136"/>
      <c r="I265" s="134"/>
      <c r="J265" s="134"/>
      <c r="K265" s="134"/>
      <c r="L265" s="134"/>
      <c r="M265" s="134"/>
      <c r="N265" s="134"/>
    </row>
    <row r="266">
      <c r="A266" s="136"/>
      <c r="B266" s="136"/>
      <c r="C266" s="136"/>
      <c r="D266" s="136"/>
      <c r="E266" s="136"/>
      <c r="F266" s="136"/>
      <c r="G266" s="136"/>
      <c r="H266" s="136"/>
      <c r="I266" s="134"/>
      <c r="J266" s="134"/>
      <c r="K266" s="134"/>
      <c r="L266" s="134"/>
      <c r="M266" s="134"/>
      <c r="N266" s="134"/>
    </row>
    <row r="267">
      <c r="A267" s="136"/>
      <c r="B267" s="136"/>
      <c r="C267" s="136"/>
      <c r="D267" s="136"/>
      <c r="E267" s="136"/>
      <c r="F267" s="136"/>
      <c r="G267" s="136"/>
      <c r="H267" s="136"/>
      <c r="I267" s="134"/>
      <c r="J267" s="134"/>
      <c r="K267" s="134"/>
      <c r="L267" s="134"/>
      <c r="M267" s="134"/>
      <c r="N267" s="134"/>
    </row>
    <row r="268">
      <c r="A268" s="136"/>
      <c r="B268" s="136"/>
      <c r="C268" s="136"/>
      <c r="D268" s="136"/>
      <c r="E268" s="136"/>
      <c r="F268" s="136"/>
      <c r="G268" s="136"/>
      <c r="H268" s="136"/>
      <c r="I268" s="134"/>
      <c r="J268" s="134"/>
      <c r="K268" s="134"/>
      <c r="L268" s="134"/>
      <c r="M268" s="134"/>
      <c r="N268" s="134"/>
    </row>
    <row r="269">
      <c r="A269" s="136"/>
      <c r="B269" s="136"/>
      <c r="C269" s="136"/>
      <c r="D269" s="136"/>
      <c r="E269" s="136"/>
      <c r="F269" s="136"/>
      <c r="G269" s="136"/>
      <c r="H269" s="136"/>
      <c r="I269" s="134"/>
      <c r="J269" s="134"/>
      <c r="K269" s="134"/>
      <c r="L269" s="134"/>
      <c r="M269" s="134"/>
      <c r="N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</row>
  </sheetData>
  <autoFilter ref="$A$1:$Q$979"/>
  <mergeCells count="8">
    <mergeCell ref="G1:H1"/>
    <mergeCell ref="J1:N1"/>
    <mergeCell ref="D2:E2"/>
    <mergeCell ref="G2:H2"/>
    <mergeCell ref="J2:K2"/>
    <mergeCell ref="M2:N2"/>
    <mergeCell ref="P2:Q2"/>
    <mergeCell ref="S2:T2"/>
  </mergeCells>
  <printOptions horizontalCentered="1" verticalCentered="1"/>
  <pageMargins bottom="0.75" footer="0.0" header="0.0" left="0.7" right="0.7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4.0"/>
    <col customWidth="1" min="4" max="7" width="6.14"/>
    <col customWidth="1" min="8" max="8" width="7.43"/>
    <col customWidth="1" min="9" max="9" width="4.14"/>
    <col customWidth="1" min="10" max="10" width="10.71"/>
  </cols>
  <sheetData>
    <row r="1" ht="15.0" customHeight="1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 ht="15.0" customHeight="1">
      <c r="A2" s="220"/>
      <c r="B2" s="220"/>
      <c r="C2" s="220"/>
      <c r="D2" s="220"/>
      <c r="E2" s="220"/>
      <c r="F2" s="220"/>
      <c r="G2" s="220"/>
      <c r="H2" s="221"/>
      <c r="I2" s="220"/>
      <c r="J2" s="220"/>
      <c r="K2" s="220"/>
      <c r="L2" s="220"/>
      <c r="M2" s="220"/>
      <c r="N2" s="220"/>
      <c r="O2" s="220"/>
      <c r="P2" s="220"/>
      <c r="Q2" s="220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</row>
    <row r="3" ht="15.0" customHeight="1">
      <c r="A3" s="220"/>
      <c r="B3" s="220"/>
      <c r="C3" s="222" t="s">
        <v>104</v>
      </c>
      <c r="D3" s="220"/>
      <c r="E3" s="220"/>
      <c r="F3" s="220"/>
      <c r="G3" s="220"/>
      <c r="H3" s="223" t="s">
        <v>105</v>
      </c>
      <c r="I3" s="223" t="s">
        <v>106</v>
      </c>
      <c r="J3" s="220"/>
      <c r="K3" s="220"/>
      <c r="L3" s="220"/>
      <c r="M3" s="220"/>
      <c r="N3" s="220"/>
      <c r="O3" s="220"/>
      <c r="P3" s="220"/>
      <c r="Q3" s="220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</row>
    <row r="4" ht="15.0" customHeight="1">
      <c r="A4" s="220"/>
      <c r="B4" s="220"/>
      <c r="C4" s="220"/>
      <c r="D4" s="220"/>
      <c r="E4" s="220"/>
      <c r="F4" s="220"/>
      <c r="G4" s="220"/>
      <c r="H4" s="220"/>
      <c r="I4" s="220" t="s">
        <v>107</v>
      </c>
      <c r="J4" s="220"/>
      <c r="K4" s="220"/>
      <c r="L4" s="220"/>
      <c r="M4" s="220"/>
      <c r="N4" s="220"/>
      <c r="O4" s="220"/>
      <c r="P4" s="220"/>
      <c r="Q4" s="220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</row>
    <row r="5" ht="15.0" customHeight="1">
      <c r="A5" s="220"/>
      <c r="B5" s="220"/>
      <c r="C5" s="134" t="s">
        <v>108</v>
      </c>
      <c r="D5" s="134" t="s">
        <v>109</v>
      </c>
      <c r="E5" s="134" t="s">
        <v>110</v>
      </c>
      <c r="F5" s="134" t="s">
        <v>111</v>
      </c>
      <c r="G5" s="134" t="s">
        <v>25</v>
      </c>
      <c r="J5" s="220"/>
      <c r="K5" s="220"/>
      <c r="L5" s="220"/>
      <c r="M5" s="220"/>
      <c r="N5" s="220"/>
      <c r="O5" s="220"/>
      <c r="P5" s="220"/>
      <c r="Q5" s="220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</row>
    <row r="6" ht="15.0" customHeight="1">
      <c r="A6" s="98"/>
      <c r="B6" s="98"/>
      <c r="C6" s="224" t="s">
        <v>112</v>
      </c>
      <c r="D6" s="98"/>
      <c r="E6" s="98"/>
      <c r="F6" s="98"/>
      <c r="G6" s="98"/>
      <c r="J6" s="98"/>
      <c r="K6" s="98"/>
      <c r="L6" s="98"/>
      <c r="M6" s="98"/>
      <c r="N6" s="98"/>
      <c r="O6" s="98"/>
      <c r="P6" s="98"/>
      <c r="Q6" s="98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</row>
    <row r="7" ht="15.0" customHeight="1">
      <c r="A7" s="98"/>
      <c r="B7" s="226">
        <v>1.0</v>
      </c>
      <c r="C7" s="227" t="s">
        <v>113</v>
      </c>
      <c r="D7" s="224"/>
      <c r="E7" s="224"/>
      <c r="F7" s="228"/>
      <c r="G7" s="224"/>
      <c r="H7" s="229" t="s">
        <v>114</v>
      </c>
      <c r="I7" s="98"/>
      <c r="J7" s="98"/>
      <c r="K7" s="225" t="s">
        <v>115</v>
      </c>
      <c r="L7" s="98"/>
      <c r="M7" s="98"/>
      <c r="N7" s="98"/>
      <c r="O7" s="98"/>
      <c r="P7" s="226"/>
      <c r="Q7" s="98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</row>
    <row r="8" ht="15.0" customHeight="1">
      <c r="A8" s="98"/>
      <c r="B8" s="226">
        <v>2.0</v>
      </c>
      <c r="C8" s="227" t="s">
        <v>94</v>
      </c>
      <c r="D8" s="224"/>
      <c r="E8" s="224"/>
      <c r="F8" s="228"/>
      <c r="G8" s="224"/>
      <c r="H8" s="229" t="s">
        <v>116</v>
      </c>
      <c r="I8" s="98"/>
      <c r="J8" s="98"/>
      <c r="K8" s="225" t="s">
        <v>117</v>
      </c>
      <c r="L8" s="98"/>
      <c r="M8" s="98"/>
      <c r="N8" s="98"/>
      <c r="O8" s="98"/>
      <c r="P8" s="226"/>
      <c r="Q8" s="98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</row>
    <row r="9" ht="15.0" customHeight="1">
      <c r="A9" s="98"/>
      <c r="B9" s="226">
        <v>3.0</v>
      </c>
      <c r="C9" s="227" t="s">
        <v>118</v>
      </c>
      <c r="D9" s="227"/>
      <c r="E9" s="227"/>
      <c r="F9" s="227"/>
      <c r="G9" s="227" t="s">
        <v>119</v>
      </c>
      <c r="H9" s="229" t="s">
        <v>114</v>
      </c>
      <c r="I9" s="98"/>
      <c r="J9" s="98"/>
      <c r="K9" s="225" t="s">
        <v>120</v>
      </c>
      <c r="L9" s="98"/>
      <c r="M9" s="98"/>
      <c r="N9" s="98"/>
      <c r="O9" s="98"/>
      <c r="P9" s="98"/>
      <c r="Q9" s="98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</row>
    <row r="10" ht="15.0" customHeight="1">
      <c r="A10" s="98"/>
      <c r="B10" s="226">
        <v>4.0</v>
      </c>
      <c r="C10" s="227" t="s">
        <v>88</v>
      </c>
      <c r="D10" s="224"/>
      <c r="E10" s="224"/>
      <c r="F10" s="228"/>
      <c r="G10" s="224"/>
      <c r="H10" s="229" t="s">
        <v>116</v>
      </c>
      <c r="I10" s="98" t="s">
        <v>121</v>
      </c>
      <c r="J10" s="98"/>
      <c r="K10" s="225" t="s">
        <v>122</v>
      </c>
      <c r="L10" s="98"/>
      <c r="M10" s="98"/>
      <c r="N10" s="98"/>
      <c r="O10" s="98"/>
      <c r="P10" s="226"/>
      <c r="Q10" s="98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</row>
    <row r="11" ht="15.0" customHeight="1">
      <c r="A11" s="98"/>
      <c r="B11" s="226">
        <v>5.0</v>
      </c>
      <c r="C11" s="227" t="s">
        <v>123</v>
      </c>
      <c r="D11" s="227"/>
      <c r="E11" s="227"/>
      <c r="F11" s="227"/>
      <c r="G11" s="224"/>
      <c r="H11" s="229" t="s">
        <v>114</v>
      </c>
      <c r="I11" s="98"/>
      <c r="J11" s="98"/>
      <c r="K11" s="225" t="s">
        <v>124</v>
      </c>
      <c r="L11" s="98"/>
      <c r="M11" s="98"/>
      <c r="N11" s="98"/>
      <c r="O11" s="98"/>
      <c r="P11" s="226"/>
      <c r="Q11" s="98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</row>
    <row r="12" ht="15.0" customHeight="1">
      <c r="A12" s="98"/>
      <c r="B12" s="226">
        <v>6.0</v>
      </c>
      <c r="C12" s="227" t="s">
        <v>125</v>
      </c>
      <c r="D12" s="224"/>
      <c r="E12" s="224"/>
      <c r="F12" s="228"/>
      <c r="G12" s="224"/>
      <c r="H12" s="229" t="s">
        <v>116</v>
      </c>
      <c r="I12" s="98"/>
      <c r="J12" s="98"/>
      <c r="K12" s="225" t="s">
        <v>126</v>
      </c>
      <c r="L12" s="98"/>
      <c r="M12" s="98"/>
      <c r="N12" s="98"/>
      <c r="O12" s="98"/>
      <c r="P12" s="226"/>
      <c r="Q12" s="98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</row>
    <row r="13" ht="15.0" customHeight="1">
      <c r="A13" s="98"/>
      <c r="B13" s="226">
        <v>7.0</v>
      </c>
      <c r="C13" s="227" t="s">
        <v>73</v>
      </c>
      <c r="D13" s="224"/>
      <c r="E13" s="224"/>
      <c r="F13" s="228"/>
      <c r="G13" s="224"/>
      <c r="H13" s="229" t="s">
        <v>114</v>
      </c>
      <c r="I13" s="98"/>
      <c r="J13" s="98"/>
      <c r="K13" s="225" t="s">
        <v>127</v>
      </c>
      <c r="L13" s="98"/>
      <c r="M13" s="98"/>
      <c r="N13" s="98"/>
      <c r="O13" s="98"/>
      <c r="P13" s="226"/>
      <c r="Q13" s="98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</row>
    <row r="14" ht="15.0" customHeight="1">
      <c r="A14" s="220"/>
      <c r="B14" s="226">
        <v>8.0</v>
      </c>
      <c r="C14" s="227" t="s">
        <v>98</v>
      </c>
      <c r="D14" s="227"/>
      <c r="E14" s="227"/>
      <c r="F14" s="227"/>
      <c r="G14" s="230"/>
      <c r="H14" s="229" t="s">
        <v>116</v>
      </c>
      <c r="I14" s="220"/>
      <c r="J14" s="220"/>
      <c r="K14" s="225" t="s">
        <v>128</v>
      </c>
      <c r="L14" s="220"/>
      <c r="M14" s="220"/>
      <c r="N14" s="220"/>
      <c r="O14" s="220"/>
      <c r="P14" s="231"/>
      <c r="Q14" s="220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</row>
    <row r="15" ht="15.0" customHeight="1">
      <c r="A15" s="220"/>
      <c r="B15" s="226">
        <v>9.0</v>
      </c>
      <c r="C15" s="227" t="s">
        <v>54</v>
      </c>
      <c r="D15" s="227"/>
      <c r="E15" s="227"/>
      <c r="F15" s="227"/>
      <c r="G15" s="230"/>
      <c r="H15" s="229" t="s">
        <v>129</v>
      </c>
      <c r="I15" s="220"/>
      <c r="J15" s="220"/>
      <c r="K15" s="220"/>
      <c r="L15" s="220"/>
      <c r="M15" s="220"/>
      <c r="N15" s="220"/>
      <c r="O15" s="220"/>
      <c r="P15" s="220"/>
      <c r="Q15" s="220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</row>
    <row r="16" ht="15.0" customHeight="1">
      <c r="A16" s="220"/>
      <c r="B16" s="226">
        <v>10.0</v>
      </c>
      <c r="C16" s="232" t="s">
        <v>47</v>
      </c>
      <c r="D16" s="224"/>
      <c r="E16" s="224"/>
      <c r="F16" s="233"/>
      <c r="G16" s="230"/>
      <c r="H16" s="222" t="s">
        <v>116</v>
      </c>
      <c r="I16" s="220" t="s">
        <v>114</v>
      </c>
      <c r="J16" s="220"/>
      <c r="K16" s="220" t="s">
        <v>130</v>
      </c>
      <c r="L16" s="220"/>
      <c r="M16" s="220"/>
      <c r="N16" s="98"/>
      <c r="O16" s="98"/>
      <c r="P16" s="98"/>
      <c r="Q16" s="98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</row>
    <row r="17" ht="15.0" customHeight="1">
      <c r="A17" s="220"/>
      <c r="B17" s="226">
        <v>11.0</v>
      </c>
      <c r="C17" s="227" t="s">
        <v>100</v>
      </c>
      <c r="D17" s="224"/>
      <c r="E17" s="224"/>
      <c r="F17" s="233"/>
      <c r="G17" s="224"/>
      <c r="H17" s="229" t="s">
        <v>114</v>
      </c>
      <c r="I17" s="98" t="s">
        <v>114</v>
      </c>
      <c r="J17" s="98"/>
      <c r="K17" s="98"/>
      <c r="L17" s="220"/>
      <c r="M17" s="98"/>
      <c r="N17" s="98"/>
      <c r="O17" s="98"/>
      <c r="P17" s="98"/>
      <c r="Q17" s="98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</row>
    <row r="18" ht="15.0" customHeight="1">
      <c r="A18" s="220"/>
      <c r="B18" s="226">
        <v>12.0</v>
      </c>
      <c r="C18" s="232" t="s">
        <v>131</v>
      </c>
      <c r="D18" s="227"/>
      <c r="E18" s="227"/>
      <c r="F18" s="227"/>
      <c r="G18" s="230"/>
      <c r="H18" s="222" t="s">
        <v>114</v>
      </c>
      <c r="I18" s="98"/>
      <c r="J18" s="98"/>
      <c r="K18" s="225" t="s">
        <v>132</v>
      </c>
      <c r="L18" s="220"/>
      <c r="M18" s="98"/>
      <c r="N18" s="98"/>
      <c r="O18" s="98"/>
      <c r="P18" s="98"/>
      <c r="Q18" s="98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</row>
    <row r="19" ht="15.0" customHeight="1">
      <c r="A19" s="220"/>
      <c r="B19" s="226">
        <v>13.0</v>
      </c>
      <c r="C19" s="227" t="s">
        <v>133</v>
      </c>
      <c r="D19" s="227"/>
      <c r="E19" s="227"/>
      <c r="F19" s="227"/>
      <c r="G19" s="224"/>
      <c r="H19" s="229" t="s">
        <v>114</v>
      </c>
      <c r="I19" s="98"/>
      <c r="J19" s="224"/>
      <c r="K19" s="234" t="s">
        <v>134</v>
      </c>
      <c r="L19" s="98"/>
      <c r="M19" s="98"/>
      <c r="N19" s="98"/>
      <c r="O19" s="98"/>
      <c r="P19" s="98"/>
      <c r="Q19" s="98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</row>
    <row r="20" ht="15.0" customHeight="1">
      <c r="A20" s="220"/>
      <c r="B20" s="226">
        <v>14.0</v>
      </c>
      <c r="C20" s="235" t="s">
        <v>135</v>
      </c>
      <c r="D20" s="224"/>
      <c r="E20" s="224"/>
      <c r="F20" s="233"/>
      <c r="G20" s="224"/>
      <c r="H20" s="236" t="s">
        <v>114</v>
      </c>
      <c r="I20" s="98"/>
      <c r="J20" s="98"/>
      <c r="K20" s="98" t="s">
        <v>136</v>
      </c>
      <c r="L20" s="98"/>
      <c r="M20" s="98"/>
      <c r="N20" s="98"/>
      <c r="O20" s="98"/>
      <c r="P20" s="98"/>
      <c r="Q20" s="98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</row>
    <row r="21" ht="15.0" customHeight="1">
      <c r="A21" s="220"/>
      <c r="B21" s="226">
        <v>15.0</v>
      </c>
      <c r="C21" s="227" t="s">
        <v>137</v>
      </c>
      <c r="D21" s="224"/>
      <c r="E21" s="224"/>
      <c r="F21" s="228"/>
      <c r="G21" s="224"/>
      <c r="H21" s="236" t="s">
        <v>129</v>
      </c>
      <c r="I21" s="98"/>
      <c r="J21" s="98"/>
      <c r="K21" s="225" t="s">
        <v>138</v>
      </c>
      <c r="L21" s="98"/>
      <c r="M21" s="98"/>
      <c r="N21" s="98"/>
      <c r="O21" s="98"/>
      <c r="P21" s="226"/>
      <c r="Q21" s="98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</row>
    <row r="22" ht="15.0" customHeight="1">
      <c r="A22" s="220"/>
      <c r="B22" s="226">
        <v>16.0</v>
      </c>
      <c r="C22" s="227" t="s">
        <v>139</v>
      </c>
      <c r="D22" s="227"/>
      <c r="E22" s="227"/>
      <c r="F22" s="227"/>
      <c r="G22" s="224"/>
      <c r="H22" s="236" t="s">
        <v>129</v>
      </c>
      <c r="I22" s="98"/>
      <c r="J22" s="98"/>
      <c r="K22" s="225" t="s">
        <v>140</v>
      </c>
      <c r="L22" s="98"/>
      <c r="M22" s="98"/>
      <c r="N22" s="98"/>
      <c r="O22" s="98"/>
      <c r="P22" s="226"/>
      <c r="Q22" s="98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</row>
    <row r="23" ht="15.0" customHeight="1">
      <c r="A23" s="220"/>
      <c r="B23" s="226">
        <v>17.0</v>
      </c>
      <c r="C23" s="227" t="s">
        <v>63</v>
      </c>
      <c r="D23" s="227"/>
      <c r="E23" s="227"/>
      <c r="F23" s="227"/>
      <c r="G23" s="224"/>
      <c r="H23" s="236" t="s">
        <v>114</v>
      </c>
      <c r="I23" s="98"/>
      <c r="J23" s="98"/>
      <c r="K23" s="225" t="s">
        <v>141</v>
      </c>
      <c r="L23" s="98"/>
      <c r="M23" s="98"/>
      <c r="N23" s="98"/>
      <c r="O23" s="98"/>
      <c r="P23" s="226"/>
      <c r="Q23" s="98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</row>
    <row r="24" ht="15.0" customHeight="1">
      <c r="A24" s="220"/>
      <c r="B24" s="226">
        <v>18.0</v>
      </c>
      <c r="C24" s="227" t="s">
        <v>142</v>
      </c>
      <c r="D24" s="227"/>
      <c r="E24" s="227"/>
      <c r="F24" s="227"/>
      <c r="G24" s="224"/>
      <c r="H24" s="236" t="s">
        <v>114</v>
      </c>
      <c r="I24" s="98"/>
      <c r="J24" s="98"/>
      <c r="K24" s="225" t="s">
        <v>143</v>
      </c>
      <c r="L24" s="98"/>
      <c r="M24" s="98"/>
      <c r="N24" s="98"/>
      <c r="O24" s="98"/>
      <c r="P24" s="226"/>
      <c r="Q24" s="98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</row>
    <row r="25" ht="15.0" customHeight="1">
      <c r="A25" s="220"/>
      <c r="B25" s="226">
        <v>19.0</v>
      </c>
      <c r="C25" s="227" t="s">
        <v>144</v>
      </c>
      <c r="D25" s="224"/>
      <c r="E25" s="224"/>
      <c r="F25" s="228"/>
      <c r="G25" s="224"/>
      <c r="H25" s="236" t="s">
        <v>114</v>
      </c>
      <c r="I25" s="98"/>
      <c r="J25" s="98"/>
      <c r="K25" s="225" t="s">
        <v>145</v>
      </c>
      <c r="L25" s="98"/>
      <c r="M25" s="98"/>
      <c r="N25" s="98"/>
      <c r="O25" s="98"/>
      <c r="P25" s="226"/>
      <c r="Q25" s="98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</row>
    <row r="26" ht="15.0" customHeight="1">
      <c r="A26" s="220"/>
      <c r="B26" s="226">
        <v>20.0</v>
      </c>
      <c r="C26" s="227" t="s">
        <v>146</v>
      </c>
      <c r="D26" s="224"/>
      <c r="E26" s="224"/>
      <c r="F26" s="228"/>
      <c r="G26" s="224"/>
      <c r="H26" s="236" t="s">
        <v>114</v>
      </c>
      <c r="I26" s="98"/>
      <c r="J26" s="98"/>
      <c r="K26" s="225" t="s">
        <v>147</v>
      </c>
      <c r="L26" s="98"/>
      <c r="M26" s="98"/>
      <c r="N26" s="98"/>
      <c r="O26" s="98"/>
      <c r="P26" s="226"/>
      <c r="Q26" s="98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</row>
    <row r="27" ht="15.0" customHeight="1">
      <c r="A27" s="220"/>
      <c r="B27" s="226">
        <v>21.0</v>
      </c>
      <c r="C27" s="227" t="s">
        <v>148</v>
      </c>
      <c r="D27" s="224"/>
      <c r="E27" s="224"/>
      <c r="F27" s="233"/>
      <c r="G27" s="224"/>
      <c r="H27" s="98"/>
      <c r="I27" s="98"/>
      <c r="J27" s="224"/>
      <c r="K27" s="225" t="s">
        <v>149</v>
      </c>
      <c r="L27" s="98"/>
      <c r="M27" s="98"/>
      <c r="N27" s="98"/>
      <c r="O27" s="98"/>
      <c r="P27" s="226"/>
      <c r="Q27" s="98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</row>
    <row r="28" ht="15.0" customHeight="1">
      <c r="A28" s="220"/>
      <c r="B28" s="226">
        <v>22.0</v>
      </c>
      <c r="C28" s="227" t="s">
        <v>150</v>
      </c>
      <c r="D28" s="224"/>
      <c r="E28" s="224"/>
      <c r="F28" s="233"/>
      <c r="G28" s="224"/>
      <c r="H28" s="98"/>
      <c r="I28" s="98"/>
      <c r="J28" s="224"/>
      <c r="K28" s="225" t="s">
        <v>151</v>
      </c>
      <c r="L28" s="98"/>
      <c r="M28" s="98"/>
      <c r="N28" s="98"/>
      <c r="O28" s="98"/>
      <c r="P28" s="226"/>
      <c r="Q28" s="98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</row>
    <row r="29" ht="15.0" customHeight="1">
      <c r="A29" s="220"/>
      <c r="B29" s="226">
        <v>23.0</v>
      </c>
      <c r="C29" s="227" t="s">
        <v>152</v>
      </c>
      <c r="D29" s="224"/>
      <c r="E29" s="224"/>
      <c r="F29" s="228"/>
      <c r="G29" s="224"/>
      <c r="H29" s="98"/>
      <c r="I29" s="98"/>
      <c r="J29" s="224"/>
      <c r="K29" s="98"/>
      <c r="L29" s="98"/>
      <c r="M29" s="98"/>
      <c r="N29" s="98"/>
      <c r="O29" s="98"/>
      <c r="P29" s="226"/>
      <c r="Q29" s="98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</row>
    <row r="30" ht="15.0" customHeight="1">
      <c r="A30" s="220"/>
      <c r="B30" s="226">
        <v>24.0</v>
      </c>
      <c r="C30" s="227" t="s">
        <v>153</v>
      </c>
      <c r="D30" s="227"/>
      <c r="E30" s="227"/>
      <c r="F30" s="227"/>
      <c r="G30" s="224"/>
      <c r="H30" s="98"/>
      <c r="I30" s="98"/>
      <c r="J30" s="224"/>
      <c r="K30" s="225" t="s">
        <v>154</v>
      </c>
      <c r="L30" s="98"/>
      <c r="M30" s="98"/>
      <c r="N30" s="98"/>
      <c r="O30" s="98"/>
      <c r="P30" s="226"/>
      <c r="Q30" s="98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</row>
    <row r="31" ht="15.0" customHeight="1">
      <c r="A31" s="220"/>
      <c r="B31" s="226">
        <v>25.0</v>
      </c>
      <c r="C31" s="227" t="s">
        <v>155</v>
      </c>
      <c r="D31" s="227"/>
      <c r="E31" s="227"/>
      <c r="F31" s="227"/>
      <c r="G31" s="224"/>
      <c r="H31" s="236" t="s">
        <v>114</v>
      </c>
      <c r="I31" s="98"/>
      <c r="J31" s="98"/>
      <c r="K31" s="225" t="s">
        <v>156</v>
      </c>
      <c r="L31" s="98"/>
      <c r="M31" s="98"/>
      <c r="N31" s="98"/>
      <c r="O31" s="98"/>
      <c r="P31" s="226"/>
      <c r="Q31" s="98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</row>
    <row r="32" ht="15.0" customHeight="1">
      <c r="A32" s="220"/>
      <c r="B32" s="226">
        <v>26.0</v>
      </c>
      <c r="C32" s="227" t="s">
        <v>157</v>
      </c>
      <c r="D32" s="227"/>
      <c r="E32" s="227"/>
      <c r="F32" s="227"/>
      <c r="G32" s="224"/>
      <c r="H32" s="98"/>
      <c r="I32" s="98"/>
      <c r="J32" s="98"/>
      <c r="K32" s="98"/>
      <c r="L32" s="98"/>
      <c r="M32" s="98"/>
      <c r="N32" s="98"/>
      <c r="O32" s="98"/>
      <c r="P32" s="226"/>
      <c r="Q32" s="98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</row>
    <row r="33" ht="15.0" customHeight="1">
      <c r="A33" s="220"/>
      <c r="B33" s="226">
        <v>27.0</v>
      </c>
      <c r="C33" s="227" t="s">
        <v>158</v>
      </c>
      <c r="D33" s="224"/>
      <c r="E33" s="224"/>
      <c r="F33" s="233"/>
      <c r="G33" s="224"/>
      <c r="H33" s="236" t="s">
        <v>114</v>
      </c>
      <c r="I33" s="98"/>
      <c r="J33" s="98"/>
      <c r="K33" s="225" t="s">
        <v>159</v>
      </c>
      <c r="L33" s="98"/>
      <c r="M33" s="98"/>
      <c r="N33" s="98"/>
      <c r="O33" s="98"/>
      <c r="P33" s="226"/>
      <c r="Q33" s="98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</row>
    <row r="34" ht="15.0" customHeight="1">
      <c r="A34" s="220"/>
      <c r="B34" s="226">
        <v>28.0</v>
      </c>
      <c r="C34" s="227" t="s">
        <v>160</v>
      </c>
      <c r="D34" s="227"/>
      <c r="E34" s="227"/>
      <c r="F34" s="227"/>
      <c r="G34" s="224"/>
      <c r="H34" s="98"/>
      <c r="I34" s="98"/>
      <c r="J34" s="98"/>
      <c r="K34" s="225" t="s">
        <v>161</v>
      </c>
      <c r="L34" s="98"/>
      <c r="M34" s="98"/>
      <c r="N34" s="98"/>
      <c r="O34" s="98"/>
      <c r="P34" s="226">
        <v>1.0</v>
      </c>
      <c r="Q34" s="98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</row>
    <row r="35" ht="15.0" customHeight="1">
      <c r="A35" s="220"/>
      <c r="B35" s="226">
        <v>29.0</v>
      </c>
      <c r="C35" s="227" t="s">
        <v>162</v>
      </c>
      <c r="D35" s="224"/>
      <c r="E35" s="224"/>
      <c r="F35" s="228"/>
      <c r="G35" s="224"/>
      <c r="H35" s="98"/>
      <c r="I35" s="98"/>
      <c r="J35" s="98"/>
      <c r="K35" s="98"/>
      <c r="L35" s="98"/>
      <c r="M35" s="98"/>
      <c r="N35" s="98"/>
      <c r="O35" s="98"/>
      <c r="P35" s="226">
        <v>1.0</v>
      </c>
      <c r="Q35" s="98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</row>
    <row r="36" ht="15.0" customHeight="1">
      <c r="A36" s="220"/>
      <c r="B36" s="226">
        <v>30.0</v>
      </c>
      <c r="C36" s="235" t="s">
        <v>72</v>
      </c>
      <c r="D36" s="224"/>
      <c r="E36" s="224"/>
      <c r="F36" s="228"/>
      <c r="G36" s="224"/>
      <c r="H36" s="98"/>
      <c r="I36" s="98"/>
      <c r="J36" s="98"/>
      <c r="K36" s="98"/>
      <c r="L36" s="98"/>
      <c r="M36" s="98"/>
      <c r="N36" s="220"/>
      <c r="O36" s="220"/>
      <c r="P36" s="231">
        <v>1.0</v>
      </c>
      <c r="Q36" s="98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</row>
    <row r="37" ht="15.0" customHeight="1">
      <c r="A37" s="220"/>
      <c r="B37" s="98">
        <v>31.0</v>
      </c>
      <c r="C37" s="235" t="s">
        <v>163</v>
      </c>
      <c r="D37" s="224"/>
      <c r="E37" s="224"/>
      <c r="F37" s="233"/>
      <c r="G37" s="224"/>
      <c r="H37" s="98"/>
      <c r="I37" s="98"/>
      <c r="J37" s="98"/>
      <c r="K37" s="98"/>
      <c r="L37" s="98"/>
      <c r="M37" s="98"/>
      <c r="N37" s="98"/>
      <c r="O37" s="98"/>
      <c r="P37" s="226"/>
      <c r="Q37" s="98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</row>
    <row r="38" ht="15.0" customHeight="1">
      <c r="A38" s="220"/>
      <c r="B38" s="98"/>
      <c r="C38" s="224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226"/>
      <c r="Q38" s="98"/>
      <c r="R38" s="225"/>
      <c r="S38" s="225"/>
      <c r="T38" s="225"/>
      <c r="U38" s="225"/>
      <c r="V38" s="225"/>
      <c r="W38" s="225"/>
      <c r="X38" s="225"/>
      <c r="Y38" s="225"/>
      <c r="Z38" s="225"/>
      <c r="AA38" s="225"/>
      <c r="AB38" s="225"/>
    </row>
    <row r="39" ht="15.0" customHeight="1">
      <c r="A39" s="220"/>
      <c r="B39" s="98"/>
      <c r="C39" s="224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226"/>
      <c r="Q39" s="98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</row>
    <row r="40" ht="15.0" customHeight="1">
      <c r="A40" s="220"/>
      <c r="B40" s="98"/>
      <c r="C40" s="224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226">
        <v>1.0</v>
      </c>
      <c r="Q40" s="98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</row>
    <row r="41" ht="15.0" customHeight="1">
      <c r="A41" s="220"/>
      <c r="B41" s="98"/>
      <c r="C41" s="227" t="s">
        <v>164</v>
      </c>
      <c r="D41" s="98"/>
      <c r="E41" s="98"/>
      <c r="F41" s="98"/>
      <c r="G41" s="98" t="s">
        <v>165</v>
      </c>
      <c r="H41" s="98"/>
      <c r="I41" s="98"/>
      <c r="J41" s="98"/>
      <c r="K41" s="98"/>
      <c r="L41" s="98"/>
      <c r="M41" s="98"/>
      <c r="N41" s="220"/>
      <c r="O41" s="220"/>
      <c r="P41" s="231">
        <v>1.0</v>
      </c>
      <c r="Q41" s="98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</row>
    <row r="42" ht="15.0" customHeight="1">
      <c r="A42" s="220"/>
      <c r="B42" s="226">
        <v>2.0</v>
      </c>
      <c r="C42" s="227" t="s">
        <v>166</v>
      </c>
      <c r="D42" s="98"/>
      <c r="E42" s="98"/>
      <c r="F42" s="98"/>
      <c r="G42" s="98"/>
      <c r="H42" s="98"/>
      <c r="I42" s="98"/>
      <c r="J42" s="98"/>
      <c r="K42" s="225" t="s">
        <v>167</v>
      </c>
      <c r="L42" s="98"/>
      <c r="M42" s="98"/>
      <c r="N42" s="98"/>
      <c r="O42" s="98"/>
      <c r="P42" s="98"/>
      <c r="Q42" s="98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</row>
    <row r="43" ht="15.0" customHeight="1">
      <c r="A43" s="220"/>
      <c r="B43" s="226">
        <v>3.0</v>
      </c>
      <c r="C43" s="227" t="s">
        <v>168</v>
      </c>
      <c r="D43" s="98"/>
      <c r="E43" s="98"/>
      <c r="F43" s="98"/>
      <c r="G43" s="98"/>
      <c r="H43" s="229" t="s">
        <v>114</v>
      </c>
      <c r="I43" s="98"/>
      <c r="J43" s="98"/>
      <c r="K43" s="225" t="s">
        <v>169</v>
      </c>
      <c r="L43" s="220"/>
      <c r="M43" s="98"/>
      <c r="N43" s="98"/>
      <c r="O43" s="98"/>
      <c r="P43" s="98"/>
      <c r="Q43" s="98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</row>
    <row r="44" ht="15.0" customHeight="1">
      <c r="A44" s="220"/>
      <c r="B44" s="226">
        <v>4.0</v>
      </c>
      <c r="C44" s="227" t="s">
        <v>170</v>
      </c>
      <c r="D44" s="220"/>
      <c r="E44" s="220"/>
      <c r="F44" s="220"/>
      <c r="G44" s="220"/>
      <c r="H44" s="229" t="s">
        <v>116</v>
      </c>
      <c r="I44" s="220"/>
      <c r="J44" s="220"/>
      <c r="K44" s="134" t="s">
        <v>171</v>
      </c>
      <c r="L44" s="220"/>
      <c r="M44" s="220"/>
      <c r="N44" s="98"/>
      <c r="O44" s="98"/>
      <c r="P44" s="98"/>
      <c r="Q44" s="98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</row>
    <row r="45" ht="15.0" customHeight="1">
      <c r="A45" s="220"/>
      <c r="B45" s="226">
        <v>5.0</v>
      </c>
      <c r="C45" s="227" t="s">
        <v>172</v>
      </c>
      <c r="D45" s="98"/>
      <c r="E45" s="98"/>
      <c r="F45" s="98"/>
      <c r="G45" s="98"/>
      <c r="H45" s="229" t="s">
        <v>114</v>
      </c>
      <c r="I45" s="98"/>
      <c r="J45" s="98"/>
      <c r="K45" s="225" t="s">
        <v>173</v>
      </c>
      <c r="L45" s="98"/>
      <c r="M45" s="98"/>
      <c r="N45" s="98"/>
      <c r="O45" s="98"/>
      <c r="P45" s="98"/>
      <c r="Q45" s="98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</row>
    <row r="46" ht="15.0" customHeight="1">
      <c r="A46" s="220"/>
      <c r="B46" s="226">
        <v>6.0</v>
      </c>
      <c r="C46" s="232" t="s">
        <v>174</v>
      </c>
      <c r="D46" s="220"/>
      <c r="E46" s="220"/>
      <c r="F46" s="220"/>
      <c r="G46" s="220"/>
      <c r="H46" s="220"/>
      <c r="I46" s="231">
        <v>20.0</v>
      </c>
      <c r="J46" s="220"/>
      <c r="K46" s="134" t="s">
        <v>175</v>
      </c>
      <c r="L46" s="220"/>
      <c r="M46" s="220"/>
      <c r="N46" s="98"/>
      <c r="O46" s="98"/>
      <c r="P46" s="98"/>
      <c r="Q46" s="98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</row>
    <row r="47" ht="15.0" customHeight="1">
      <c r="A47" s="220"/>
      <c r="B47" s="226">
        <v>7.0</v>
      </c>
      <c r="C47" s="232" t="s">
        <v>176</v>
      </c>
      <c r="D47" s="220"/>
      <c r="E47" s="220"/>
      <c r="F47" s="220"/>
      <c r="G47" s="220"/>
      <c r="H47" s="222" t="s">
        <v>114</v>
      </c>
      <c r="I47" s="220"/>
      <c r="J47" s="220"/>
      <c r="K47" s="220"/>
      <c r="L47" s="220"/>
      <c r="M47" s="98"/>
      <c r="N47" s="98"/>
      <c r="O47" s="98"/>
      <c r="P47" s="98"/>
      <c r="Q47" s="98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</row>
    <row r="48" ht="15.0" customHeight="1">
      <c r="A48" s="220"/>
      <c r="B48" s="226">
        <v>8.0</v>
      </c>
      <c r="C48" s="227" t="s">
        <v>177</v>
      </c>
      <c r="D48" s="98"/>
      <c r="E48" s="98"/>
      <c r="F48" s="98"/>
      <c r="G48" s="98"/>
      <c r="H48" s="222" t="s">
        <v>114</v>
      </c>
      <c r="I48" s="98"/>
      <c r="J48" s="98"/>
      <c r="K48" s="98" t="s">
        <v>178</v>
      </c>
      <c r="L48" s="220"/>
      <c r="M48" s="98"/>
      <c r="N48" s="98"/>
      <c r="O48" s="98"/>
      <c r="P48" s="98"/>
      <c r="Q48" s="98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</row>
    <row r="49" ht="15.0" customHeight="1">
      <c r="A49" s="220"/>
      <c r="B49" s="226">
        <v>9.0</v>
      </c>
      <c r="C49" s="227" t="s">
        <v>179</v>
      </c>
      <c r="D49" s="98"/>
      <c r="E49" s="98"/>
      <c r="F49" s="98"/>
      <c r="G49" s="98"/>
      <c r="H49" s="229" t="s">
        <v>114</v>
      </c>
      <c r="I49" s="98"/>
      <c r="J49" s="98"/>
      <c r="K49" s="98"/>
      <c r="L49" s="220"/>
      <c r="M49" s="98"/>
      <c r="N49" s="98"/>
      <c r="O49" s="98"/>
      <c r="P49" s="98"/>
      <c r="Q49" s="98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</row>
    <row r="50" ht="15.0" customHeight="1">
      <c r="A50" s="220"/>
      <c r="B50" s="226">
        <v>10.0</v>
      </c>
      <c r="C50" s="227" t="s">
        <v>180</v>
      </c>
      <c r="D50" s="98"/>
      <c r="E50" s="98"/>
      <c r="F50" s="98"/>
      <c r="G50" s="98"/>
      <c r="H50" s="229" t="s">
        <v>114</v>
      </c>
      <c r="I50" s="98"/>
      <c r="J50" s="98"/>
      <c r="K50" s="98"/>
      <c r="L50" s="220"/>
      <c r="M50" s="98"/>
      <c r="N50" s="98"/>
      <c r="O50" s="98"/>
      <c r="P50" s="98"/>
      <c r="Q50" s="98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</row>
    <row r="51" ht="15.0" customHeight="1">
      <c r="A51" s="220"/>
      <c r="B51" s="226">
        <v>12.0</v>
      </c>
      <c r="C51" s="227" t="s">
        <v>181</v>
      </c>
      <c r="D51" s="98"/>
      <c r="E51" s="98"/>
      <c r="F51" s="98"/>
      <c r="G51" s="98"/>
      <c r="H51" s="236" t="s">
        <v>114</v>
      </c>
      <c r="I51" s="98"/>
      <c r="J51" s="98"/>
      <c r="K51" s="98"/>
      <c r="L51" s="220"/>
      <c r="M51" s="98"/>
      <c r="N51" s="98"/>
      <c r="O51" s="98"/>
      <c r="P51" s="98"/>
      <c r="Q51" s="98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</row>
    <row r="52" ht="15.0" customHeight="1">
      <c r="A52" s="220"/>
      <c r="B52" s="226">
        <v>13.0</v>
      </c>
      <c r="C52" s="232" t="s">
        <v>182</v>
      </c>
      <c r="D52" s="220"/>
      <c r="E52" s="220"/>
      <c r="F52" s="220"/>
      <c r="G52" s="220"/>
      <c r="H52" s="222" t="s">
        <v>114</v>
      </c>
      <c r="I52" s="98"/>
      <c r="J52" s="98"/>
      <c r="K52" s="98"/>
      <c r="L52" s="220"/>
      <c r="M52" s="98"/>
      <c r="N52" s="98"/>
      <c r="O52" s="98"/>
      <c r="P52" s="98"/>
      <c r="Q52" s="98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</row>
    <row r="53" ht="15.0" customHeight="1">
      <c r="A53" s="220"/>
      <c r="B53" s="235">
        <v>14.0</v>
      </c>
      <c r="C53" s="235" t="s">
        <v>183</v>
      </c>
      <c r="D53" s="98"/>
      <c r="E53" s="98"/>
      <c r="F53" s="98"/>
      <c r="G53" s="98"/>
      <c r="H53" s="236" t="s">
        <v>129</v>
      </c>
      <c r="I53" s="98"/>
      <c r="J53" s="98"/>
      <c r="K53" s="98"/>
      <c r="L53" s="220"/>
      <c r="M53" s="98"/>
      <c r="N53" s="98"/>
      <c r="O53" s="98"/>
      <c r="P53" s="98"/>
      <c r="Q53" s="98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</row>
    <row r="54" ht="15.0" customHeight="1">
      <c r="A54" s="220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220"/>
      <c r="M54" s="98"/>
      <c r="N54" s="220"/>
      <c r="O54" s="220"/>
      <c r="P54" s="220"/>
      <c r="Q54" s="220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</row>
    <row r="55" ht="15.0" customHeight="1">
      <c r="A55" s="220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220"/>
      <c r="M55" s="98"/>
      <c r="N55" s="220"/>
      <c r="O55" s="220"/>
      <c r="P55" s="220"/>
      <c r="Q55" s="220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</row>
    <row r="56" ht="15.0" customHeight="1">
      <c r="A56" s="220"/>
      <c r="B56" s="98"/>
      <c r="C56" s="225" t="s">
        <v>184</v>
      </c>
      <c r="D56" s="98"/>
      <c r="E56" s="98"/>
      <c r="F56" s="98"/>
      <c r="G56" s="98"/>
      <c r="H56" s="98"/>
      <c r="I56" s="98"/>
      <c r="J56" s="98"/>
      <c r="K56" s="98"/>
      <c r="L56" s="220"/>
      <c r="M56" s="98"/>
      <c r="N56" s="220"/>
      <c r="O56" s="220"/>
      <c r="P56" s="220"/>
      <c r="Q56" s="220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</row>
    <row r="57" ht="15.0" customHeight="1">
      <c r="A57" s="220"/>
      <c r="B57" s="226">
        <v>1.0</v>
      </c>
      <c r="C57" s="229" t="s">
        <v>185</v>
      </c>
      <c r="D57" s="229"/>
      <c r="E57" s="229"/>
      <c r="F57" s="229"/>
      <c r="G57" s="229" t="s">
        <v>186</v>
      </c>
      <c r="H57" s="229" t="s">
        <v>114</v>
      </c>
      <c r="I57" s="98"/>
      <c r="J57" s="98"/>
      <c r="K57" s="225" t="s">
        <v>187</v>
      </c>
      <c r="L57" s="220"/>
      <c r="M57" s="98"/>
      <c r="N57" s="220"/>
      <c r="O57" s="220"/>
      <c r="P57" s="220"/>
      <c r="Q57" s="220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</row>
    <row r="58" ht="15.0" customHeight="1">
      <c r="A58" s="220"/>
      <c r="B58" s="231">
        <v>14.0</v>
      </c>
      <c r="C58" s="229" t="s">
        <v>188</v>
      </c>
      <c r="D58" s="134"/>
      <c r="E58" s="134"/>
      <c r="F58" s="134"/>
      <c r="G58" s="134" t="s">
        <v>189</v>
      </c>
      <c r="H58" s="229" t="s">
        <v>129</v>
      </c>
      <c r="I58" s="220"/>
      <c r="J58" s="220"/>
      <c r="K58" s="134" t="s">
        <v>190</v>
      </c>
      <c r="L58" s="220"/>
      <c r="M58" s="220"/>
      <c r="N58" s="220"/>
      <c r="O58" s="220"/>
      <c r="P58" s="220"/>
      <c r="Q58" s="220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</row>
    <row r="59" ht="15.0" customHeight="1">
      <c r="A59" s="220"/>
      <c r="B59" s="231">
        <v>16.0</v>
      </c>
      <c r="C59" s="229" t="s">
        <v>191</v>
      </c>
      <c r="D59" s="134"/>
      <c r="E59" s="134"/>
      <c r="F59" s="134"/>
      <c r="G59" s="134" t="s">
        <v>192</v>
      </c>
      <c r="H59" s="229" t="s">
        <v>129</v>
      </c>
      <c r="I59" s="220"/>
      <c r="J59" s="220"/>
      <c r="K59" s="220"/>
      <c r="L59" s="220"/>
      <c r="M59" s="220"/>
      <c r="N59" s="220"/>
      <c r="O59" s="220"/>
      <c r="P59" s="220"/>
      <c r="Q59" s="220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</row>
    <row r="60">
      <c r="A60" s="220"/>
      <c r="B60" s="231">
        <v>18.0</v>
      </c>
      <c r="C60" s="229" t="s">
        <v>193</v>
      </c>
      <c r="D60" s="134"/>
      <c r="E60" s="134"/>
      <c r="F60" s="134"/>
      <c r="G60" s="134" t="s">
        <v>189</v>
      </c>
      <c r="H60" s="229" t="s">
        <v>194</v>
      </c>
      <c r="I60" s="220"/>
      <c r="J60" s="220"/>
      <c r="K60" s="134" t="s">
        <v>195</v>
      </c>
      <c r="L60" s="220"/>
      <c r="M60" s="220"/>
      <c r="N60" s="220"/>
      <c r="O60" s="220"/>
      <c r="P60" s="220"/>
      <c r="Q60" s="220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</row>
    <row r="61">
      <c r="A61" s="220"/>
      <c r="B61" s="231">
        <v>22.0</v>
      </c>
      <c r="C61" s="222" t="s">
        <v>196</v>
      </c>
      <c r="D61" s="134"/>
      <c r="E61" s="134"/>
      <c r="F61" s="134"/>
      <c r="G61" s="134" t="s">
        <v>197</v>
      </c>
      <c r="H61" s="220"/>
      <c r="I61" s="220"/>
      <c r="J61" s="220"/>
      <c r="K61" s="134" t="s">
        <v>198</v>
      </c>
      <c r="L61" s="220"/>
      <c r="M61" s="220"/>
      <c r="N61" s="220"/>
      <c r="O61" s="220"/>
      <c r="P61" s="220"/>
      <c r="Q61" s="220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</row>
    <row r="62">
      <c r="A62" s="220"/>
      <c r="B62" s="231">
        <v>19.0</v>
      </c>
      <c r="C62" s="229" t="s">
        <v>199</v>
      </c>
      <c r="D62" s="134"/>
      <c r="E62" s="134"/>
      <c r="F62" s="134"/>
      <c r="G62" s="134" t="s">
        <v>200</v>
      </c>
      <c r="H62" s="229" t="s">
        <v>129</v>
      </c>
      <c r="I62" s="220"/>
      <c r="J62" s="220"/>
      <c r="K62" s="134" t="s">
        <v>201</v>
      </c>
      <c r="L62" s="220"/>
      <c r="M62" s="220"/>
      <c r="N62" s="220"/>
      <c r="O62" s="220"/>
      <c r="P62" s="220"/>
      <c r="Q62" s="220"/>
      <c r="R62" s="134"/>
      <c r="S62" s="134"/>
      <c r="T62" s="134"/>
      <c r="U62" s="134"/>
      <c r="V62" s="134"/>
      <c r="W62" s="134"/>
      <c r="X62" s="134"/>
      <c r="Y62" s="134"/>
      <c r="Z62" s="134"/>
      <c r="AA62" s="134"/>
      <c r="AB62" s="134"/>
    </row>
    <row r="63">
      <c r="A63" s="220"/>
      <c r="B63" s="226">
        <v>13.0</v>
      </c>
      <c r="C63" s="229" t="s">
        <v>202</v>
      </c>
      <c r="D63" s="229"/>
      <c r="E63" s="229"/>
      <c r="F63" s="229"/>
      <c r="G63" s="229" t="s">
        <v>203</v>
      </c>
      <c r="H63" s="229" t="s">
        <v>129</v>
      </c>
      <c r="I63" s="98"/>
      <c r="J63" s="98"/>
      <c r="K63" s="225" t="s">
        <v>204</v>
      </c>
      <c r="L63" s="98"/>
      <c r="M63" s="220"/>
      <c r="N63" s="220"/>
      <c r="O63" s="220"/>
      <c r="P63" s="220"/>
      <c r="Q63" s="220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</row>
    <row r="64">
      <c r="A64" s="220"/>
      <c r="B64" s="226">
        <v>18.0</v>
      </c>
      <c r="C64" s="222" t="s">
        <v>205</v>
      </c>
      <c r="D64" s="134"/>
      <c r="E64" s="134"/>
      <c r="F64" s="134"/>
      <c r="G64" s="134" t="s">
        <v>206</v>
      </c>
      <c r="H64" s="229" t="s">
        <v>194</v>
      </c>
      <c r="I64" s="220"/>
      <c r="J64" s="220"/>
      <c r="K64" s="134" t="s">
        <v>207</v>
      </c>
      <c r="L64" s="220"/>
      <c r="M64" s="220"/>
      <c r="N64" s="220"/>
      <c r="O64" s="220"/>
      <c r="P64" s="220"/>
      <c r="Q64" s="220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</row>
    <row r="65">
      <c r="A65" s="220"/>
      <c r="B65" s="231">
        <v>20.0</v>
      </c>
      <c r="C65" s="222" t="s">
        <v>208</v>
      </c>
      <c r="D65" s="134"/>
      <c r="E65" s="134"/>
      <c r="F65" s="134"/>
      <c r="G65" s="134" t="s">
        <v>209</v>
      </c>
      <c r="H65" s="220"/>
      <c r="I65" s="220"/>
      <c r="J65" s="220"/>
      <c r="K65" s="134" t="s">
        <v>210</v>
      </c>
      <c r="L65" s="220"/>
      <c r="M65" s="220"/>
      <c r="N65" s="220"/>
      <c r="O65" s="220"/>
      <c r="P65" s="220"/>
      <c r="Q65" s="220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</row>
    <row r="66">
      <c r="A66" s="134"/>
      <c r="B66" s="226">
        <v>18.0</v>
      </c>
      <c r="C66" s="232" t="s">
        <v>155</v>
      </c>
      <c r="D66" s="220"/>
      <c r="E66" s="220"/>
      <c r="F66" s="220"/>
      <c r="G66" s="220"/>
      <c r="H66" s="222" t="s">
        <v>211</v>
      </c>
      <c r="I66" s="220"/>
      <c r="J66" s="220"/>
      <c r="K66" s="220"/>
      <c r="L66" s="220"/>
      <c r="M66" s="220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</row>
    <row r="67">
      <c r="A67" s="134"/>
      <c r="B67" s="220"/>
      <c r="C67" s="232" t="s">
        <v>212</v>
      </c>
      <c r="D67" s="134"/>
      <c r="E67" s="134"/>
      <c r="F67" s="134"/>
      <c r="G67" s="134" t="s">
        <v>213</v>
      </c>
      <c r="H67" s="222" t="s">
        <v>114</v>
      </c>
      <c r="I67" s="220"/>
      <c r="J67" s="220"/>
      <c r="K67" s="220"/>
      <c r="L67" s="220"/>
      <c r="M67" s="220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4"/>
    </row>
    <row r="68">
      <c r="A68" s="134"/>
      <c r="B68" s="220"/>
      <c r="C68" s="222" t="s">
        <v>214</v>
      </c>
      <c r="D68" s="220"/>
      <c r="E68" s="220"/>
      <c r="F68" s="220"/>
      <c r="G68" s="220"/>
      <c r="H68" s="222" t="s">
        <v>129</v>
      </c>
      <c r="I68" s="220"/>
      <c r="J68" s="220"/>
      <c r="K68" s="220"/>
      <c r="L68" s="220"/>
      <c r="M68" s="220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</row>
    <row r="69">
      <c r="A69" s="134"/>
      <c r="B69" s="226">
        <v>15.0</v>
      </c>
      <c r="C69" s="227" t="s">
        <v>215</v>
      </c>
      <c r="D69" s="98"/>
      <c r="E69" s="98"/>
      <c r="F69" s="98"/>
      <c r="G69" s="98"/>
      <c r="H69" s="237" t="s">
        <v>114</v>
      </c>
      <c r="I69" s="220"/>
      <c r="J69" s="220"/>
      <c r="K69" s="220"/>
      <c r="L69" s="220"/>
      <c r="M69" s="220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</row>
    <row r="70">
      <c r="A70" s="134"/>
      <c r="B70" s="220"/>
      <c r="C70" s="238" t="s">
        <v>216</v>
      </c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</row>
    <row r="71">
      <c r="A71" s="134"/>
      <c r="B71" s="226">
        <v>23.0</v>
      </c>
      <c r="C71" s="227" t="s">
        <v>217</v>
      </c>
      <c r="D71" s="98"/>
      <c r="E71" s="98"/>
      <c r="F71" s="98"/>
      <c r="G71" s="98"/>
      <c r="H71" s="229" t="s">
        <v>129</v>
      </c>
      <c r="I71" s="220"/>
      <c r="J71" s="220"/>
      <c r="K71" s="220"/>
      <c r="L71" s="220"/>
      <c r="M71" s="220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</row>
    <row r="72">
      <c r="A72" s="134"/>
      <c r="B72" s="226">
        <v>15.0</v>
      </c>
      <c r="C72" s="227" t="s">
        <v>218</v>
      </c>
      <c r="D72" s="98"/>
      <c r="E72" s="98"/>
      <c r="F72" s="98"/>
      <c r="G72" s="98"/>
      <c r="H72" s="229" t="s">
        <v>129</v>
      </c>
      <c r="I72" s="220"/>
      <c r="J72" s="220"/>
      <c r="K72" s="220"/>
      <c r="L72" s="220"/>
      <c r="M72" s="220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</row>
    <row r="73">
      <c r="A73" s="134"/>
      <c r="B73" s="226">
        <v>16.0</v>
      </c>
      <c r="C73" s="227" t="s">
        <v>219</v>
      </c>
      <c r="D73" s="98"/>
      <c r="E73" s="98"/>
      <c r="F73" s="98"/>
      <c r="G73" s="98"/>
      <c r="H73" s="229" t="s">
        <v>114</v>
      </c>
      <c r="I73" s="98"/>
      <c r="J73" s="98"/>
      <c r="K73" s="225" t="s">
        <v>220</v>
      </c>
      <c r="L73" s="220"/>
      <c r="M73" s="220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</row>
    <row r="74">
      <c r="A74" s="134"/>
      <c r="B74" s="226">
        <v>13.0</v>
      </c>
      <c r="C74" s="227" t="s">
        <v>221</v>
      </c>
      <c r="D74" s="98"/>
      <c r="E74" s="98"/>
      <c r="F74" s="98"/>
      <c r="G74" s="98"/>
      <c r="H74" s="229" t="s">
        <v>114</v>
      </c>
      <c r="I74" s="98"/>
      <c r="J74" s="98"/>
      <c r="K74" s="225" t="s">
        <v>222</v>
      </c>
      <c r="L74" s="220"/>
      <c r="M74" s="220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</row>
    <row r="75">
      <c r="A75" s="134"/>
      <c r="B75" s="226">
        <v>10.0</v>
      </c>
      <c r="C75" s="232" t="s">
        <v>223</v>
      </c>
      <c r="D75" s="220"/>
      <c r="E75" s="220"/>
      <c r="F75" s="220"/>
      <c r="G75" s="220"/>
      <c r="H75" s="222" t="s">
        <v>114</v>
      </c>
      <c r="I75" s="220"/>
      <c r="J75" s="220"/>
      <c r="K75" s="134" t="s">
        <v>224</v>
      </c>
      <c r="L75" s="220"/>
      <c r="M75" s="220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  <c r="AA75" s="134"/>
      <c r="AB75" s="134"/>
    </row>
    <row r="76">
      <c r="A76" s="134"/>
      <c r="B76" s="226">
        <v>15.0</v>
      </c>
      <c r="C76" s="227" t="s">
        <v>225</v>
      </c>
      <c r="D76" s="98"/>
      <c r="E76" s="98"/>
      <c r="F76" s="98"/>
      <c r="G76" s="98"/>
      <c r="H76" s="229" t="s">
        <v>129</v>
      </c>
      <c r="I76" s="98" t="s">
        <v>114</v>
      </c>
      <c r="J76" s="98"/>
      <c r="K76" s="225" t="s">
        <v>226</v>
      </c>
      <c r="L76" s="220"/>
      <c r="M76" s="220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</row>
    <row r="77">
      <c r="A77" s="134"/>
      <c r="B77" s="226">
        <v>18.0</v>
      </c>
      <c r="C77" s="227" t="s">
        <v>227</v>
      </c>
      <c r="D77" s="98"/>
      <c r="E77" s="98"/>
      <c r="F77" s="98"/>
      <c r="G77" s="98"/>
      <c r="H77" s="236" t="s">
        <v>129</v>
      </c>
      <c r="I77" s="98"/>
      <c r="J77" s="98"/>
      <c r="K77" s="225" t="s">
        <v>228</v>
      </c>
      <c r="L77" s="220"/>
      <c r="M77" s="220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</row>
    <row r="78">
      <c r="A78" s="134"/>
      <c r="B78" s="226">
        <v>14.0</v>
      </c>
      <c r="C78" s="227" t="s">
        <v>229</v>
      </c>
      <c r="D78" s="98"/>
      <c r="E78" s="98"/>
      <c r="F78" s="98"/>
      <c r="G78" s="98"/>
      <c r="H78" s="229" t="s">
        <v>114</v>
      </c>
      <c r="I78" s="98" t="s">
        <v>121</v>
      </c>
      <c r="J78" s="98"/>
      <c r="K78" s="225" t="s">
        <v>230</v>
      </c>
      <c r="L78" s="220"/>
      <c r="M78" s="220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</row>
    <row r="79">
      <c r="A79" s="134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</row>
    <row r="80">
      <c r="A80" s="134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</row>
    <row r="8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</row>
    <row r="82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</row>
    <row r="8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</row>
    <row r="84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</row>
    <row r="8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</row>
    <row r="86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</row>
    <row r="8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</row>
    <row r="88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</row>
    <row r="89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</row>
    <row r="90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</row>
    <row r="9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</row>
    <row r="9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</row>
    <row r="9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</row>
    <row r="94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</row>
    <row r="9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</row>
    <row r="96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</row>
    <row r="9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</row>
    <row r="98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</row>
    <row r="99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</row>
    <row r="100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</row>
    <row r="10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</row>
    <row r="10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</row>
    <row r="10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</row>
    <row r="104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</row>
    <row r="10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</row>
    <row r="106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</row>
    <row r="10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</row>
    <row r="108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</row>
    <row r="109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</row>
    <row r="110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</row>
    <row r="11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</row>
    <row r="112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</row>
    <row r="1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</row>
    <row r="114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</row>
    <row r="11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</row>
    <row r="11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</row>
    <row r="11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</row>
    <row r="118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</row>
    <row r="119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</row>
    <row r="120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</row>
    <row r="12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</row>
    <row r="12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</row>
    <row r="12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</row>
    <row r="124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</row>
    <row r="1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</row>
    <row r="126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</row>
    <row r="127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</row>
    <row r="128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</row>
    <row r="129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</row>
    <row r="138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</row>
    <row r="139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  <c r="AA142" s="134"/>
      <c r="AB142" s="134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</row>
    <row r="146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</row>
    <row r="147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</row>
    <row r="148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</row>
    <row r="149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</row>
    <row r="150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</row>
    <row r="15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</row>
    <row r="15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</row>
    <row r="15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</row>
    <row r="154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</row>
    <row r="15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</row>
    <row r="156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</row>
    <row r="157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</row>
    <row r="158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</row>
    <row r="159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</row>
    <row r="160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</row>
    <row r="16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  <c r="AA161" s="134"/>
      <c r="AB161" s="134"/>
    </row>
    <row r="16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  <c r="AA162" s="134"/>
      <c r="AB162" s="134"/>
    </row>
    <row r="16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  <c r="AA163" s="134"/>
      <c r="AB163" s="134"/>
    </row>
    <row r="164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  <c r="AA164" s="134"/>
      <c r="AB164" s="134"/>
    </row>
    <row r="16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</row>
    <row r="166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</row>
    <row r="167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  <c r="AA167" s="134"/>
      <c r="AB167" s="134"/>
    </row>
    <row r="168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  <c r="AA168" s="134"/>
      <c r="AB168" s="134"/>
    </row>
    <row r="169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</row>
    <row r="170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</row>
    <row r="17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</row>
    <row r="17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</row>
    <row r="17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</row>
    <row r="174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</row>
    <row r="17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  <c r="AA188" s="134"/>
      <c r="AB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  <c r="AA189" s="134"/>
      <c r="AB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  <c r="AA190" s="134"/>
      <c r="AB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  <c r="AA191" s="134"/>
      <c r="AB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  <c r="AA196" s="134"/>
      <c r="AB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  <c r="AA197" s="134"/>
      <c r="AB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  <c r="AA198" s="134"/>
      <c r="AB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  <c r="AA199" s="134"/>
      <c r="AB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  <c r="AA200" s="134"/>
      <c r="AB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4"/>
      <c r="AB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  <c r="AA207" s="134"/>
      <c r="AB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  <c r="AA208" s="134"/>
      <c r="AB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4"/>
      <c r="AB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  <c r="AA212" s="134"/>
      <c r="AB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  <c r="AA213" s="134"/>
      <c r="AB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  <c r="AA217" s="134"/>
      <c r="AB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  <c r="AA219" s="134"/>
      <c r="AB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  <c r="AA222" s="134"/>
      <c r="AB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4"/>
      <c r="AB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  <c r="AA225" s="134"/>
      <c r="AB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  <c r="AA226" s="134"/>
      <c r="AB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  <c r="AA228" s="134"/>
      <c r="AB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  <c r="AA230" s="134"/>
      <c r="AB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4"/>
      <c r="AB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  <c r="AA240" s="134"/>
      <c r="AB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  <c r="AA242" s="134"/>
      <c r="AB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  <c r="AA244" s="134"/>
      <c r="AB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  <c r="AA245" s="134"/>
      <c r="AB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  <c r="AA246" s="134"/>
      <c r="AB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  <c r="AA247" s="134"/>
      <c r="AB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  <c r="AA248" s="134"/>
      <c r="AB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  <c r="AA249" s="134"/>
      <c r="AB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  <c r="AA250" s="134"/>
      <c r="AB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  <c r="AA251" s="134"/>
      <c r="AB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  <c r="AA252" s="134"/>
      <c r="AB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  <c r="AA254" s="134"/>
      <c r="AB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  <c r="AA255" s="134"/>
      <c r="AB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  <c r="AA256" s="134"/>
      <c r="AB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  <c r="AA257" s="134"/>
      <c r="AB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  <c r="AA258" s="134"/>
      <c r="AB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  <c r="AA260" s="134"/>
      <c r="AB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  <c r="AA261" s="134"/>
      <c r="AB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  <c r="AA262" s="134"/>
      <c r="AB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  <c r="AA263" s="134"/>
      <c r="AB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  <c r="AA274" s="134"/>
      <c r="AB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  <c r="AA275" s="134"/>
      <c r="AB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  <c r="AA277" s="134"/>
      <c r="AB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  <c r="AA280" s="134"/>
      <c r="AB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  <c r="AA281" s="134"/>
      <c r="AB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  <c r="AA282" s="134"/>
      <c r="AB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  <c r="AA283" s="134"/>
      <c r="AB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  <c r="AA284" s="134"/>
      <c r="AB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  <c r="AA285" s="134"/>
      <c r="AB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  <c r="AA286" s="134"/>
      <c r="AB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  <c r="AA287" s="134"/>
      <c r="AB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  <c r="AA403" s="134"/>
      <c r="AB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  <c r="AA503" s="134"/>
      <c r="AB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  <c r="AA504" s="134"/>
      <c r="AB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  <c r="AA505" s="134"/>
      <c r="AB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  <c r="AA506" s="134"/>
      <c r="AB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  <c r="AA507" s="134"/>
      <c r="AB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  <c r="AA508" s="134"/>
      <c r="AB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  <c r="AA509" s="134"/>
      <c r="AB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  <c r="AA510" s="134"/>
      <c r="AB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  <c r="AA511" s="134"/>
      <c r="AB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  <c r="AA512" s="134"/>
      <c r="AB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  <c r="AA513" s="134"/>
      <c r="AB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  <c r="AA514" s="134"/>
      <c r="AB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  <c r="AA515" s="134"/>
      <c r="AB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  <c r="AA532" s="134"/>
      <c r="AB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  <c r="AA533" s="134"/>
      <c r="AB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  <c r="AA534" s="134"/>
      <c r="AB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  <c r="AA548" s="134"/>
      <c r="AB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  <c r="AA549" s="134"/>
      <c r="AB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  <c r="AA550" s="134"/>
      <c r="AB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  <c r="AA551" s="134"/>
      <c r="AB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  <c r="AA552" s="134"/>
      <c r="AB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  <c r="AA553" s="134"/>
      <c r="AB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  <c r="AA554" s="134"/>
      <c r="AB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  <c r="AA555" s="134"/>
      <c r="AB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  <c r="AA556" s="134"/>
      <c r="AB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  <c r="AA557" s="134"/>
      <c r="AB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  <c r="AA558" s="134"/>
      <c r="AB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  <c r="AA559" s="134"/>
      <c r="AB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  <c r="AA560" s="134"/>
      <c r="AB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  <c r="AA595" s="134"/>
      <c r="AB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</row>
  </sheetData>
  <mergeCells count="2">
    <mergeCell ref="G5:I5"/>
    <mergeCell ref="G6:I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98" t="s">
        <v>231</v>
      </c>
      <c r="C2" s="98"/>
      <c r="D2" s="98"/>
      <c r="E2" s="98" t="s">
        <v>232</v>
      </c>
      <c r="F2" s="98"/>
      <c r="G2" s="98"/>
      <c r="H2" s="98" t="s">
        <v>233</v>
      </c>
      <c r="I2" s="98"/>
      <c r="J2" s="98"/>
    </row>
    <row r="3">
      <c r="B3" s="98"/>
      <c r="C3" s="98" t="s">
        <v>234</v>
      </c>
      <c r="D3" s="98"/>
      <c r="E3" s="98"/>
      <c r="F3" s="98"/>
      <c r="G3" s="98"/>
      <c r="H3" s="98"/>
      <c r="I3" s="98"/>
      <c r="J3" s="98"/>
    </row>
    <row r="4">
      <c r="B4" s="239" t="s">
        <v>60</v>
      </c>
      <c r="C4" s="240">
        <v>642004.0</v>
      </c>
      <c r="D4" s="79"/>
      <c r="E4" s="79" t="s">
        <v>88</v>
      </c>
      <c r="F4" s="241">
        <v>860673.0</v>
      </c>
      <c r="G4" s="98"/>
      <c r="H4" s="98" t="s">
        <v>129</v>
      </c>
      <c r="I4" s="241">
        <v>533016.0</v>
      </c>
      <c r="J4" s="98" t="s">
        <v>235</v>
      </c>
      <c r="K4" s="34" t="s">
        <v>236</v>
      </c>
    </row>
    <row r="5">
      <c r="B5" s="242" t="s">
        <v>237</v>
      </c>
      <c r="C5" s="243">
        <v>536771.0</v>
      </c>
      <c r="D5" s="79"/>
      <c r="E5" s="79" t="s">
        <v>125</v>
      </c>
      <c r="F5" s="241">
        <v>574649.0</v>
      </c>
      <c r="G5" s="98"/>
      <c r="H5" s="98" t="s">
        <v>114</v>
      </c>
      <c r="I5" s="241">
        <v>310258.0</v>
      </c>
      <c r="J5" s="98" t="s">
        <v>238</v>
      </c>
      <c r="K5" s="34" t="s">
        <v>239</v>
      </c>
    </row>
    <row r="6">
      <c r="B6" s="79" t="s">
        <v>50</v>
      </c>
      <c r="C6" s="244">
        <v>349021.0</v>
      </c>
      <c r="D6" s="79"/>
      <c r="E6" s="79" t="s">
        <v>73</v>
      </c>
      <c r="F6" s="241">
        <v>718868.0</v>
      </c>
      <c r="G6" s="98"/>
      <c r="H6" s="98" t="s">
        <v>116</v>
      </c>
      <c r="I6" s="241">
        <v>833287.0</v>
      </c>
      <c r="J6" s="98" t="s">
        <v>240</v>
      </c>
      <c r="K6" s="34" t="s">
        <v>241</v>
      </c>
    </row>
    <row r="7">
      <c r="B7" s="79" t="s">
        <v>76</v>
      </c>
      <c r="C7" s="244">
        <v>832355.0</v>
      </c>
      <c r="D7" s="79"/>
      <c r="E7" s="79" t="s">
        <v>86</v>
      </c>
      <c r="F7" s="241">
        <v>635544.0</v>
      </c>
      <c r="G7" s="98"/>
      <c r="H7" s="98" t="s">
        <v>242</v>
      </c>
      <c r="I7" s="241">
        <v>289494.0</v>
      </c>
      <c r="J7" s="98" t="s">
        <v>243</v>
      </c>
      <c r="K7" s="34" t="s">
        <v>244</v>
      </c>
    </row>
    <row r="8">
      <c r="B8" s="242" t="s">
        <v>123</v>
      </c>
      <c r="C8" s="243">
        <v>182226.0</v>
      </c>
      <c r="D8" s="79"/>
      <c r="E8" s="79" t="s">
        <v>245</v>
      </c>
      <c r="F8" s="241">
        <v>863546.0</v>
      </c>
      <c r="G8" s="98"/>
      <c r="H8" s="98" t="s">
        <v>246</v>
      </c>
      <c r="I8" s="241">
        <v>821274.0</v>
      </c>
      <c r="J8" s="98" t="s">
        <v>247</v>
      </c>
    </row>
    <row r="9">
      <c r="B9" s="79" t="s">
        <v>47</v>
      </c>
      <c r="C9" s="244">
        <v>185118.0</v>
      </c>
      <c r="D9" s="79"/>
      <c r="E9" s="79" t="s">
        <v>135</v>
      </c>
      <c r="F9" s="241">
        <v>307942.0</v>
      </c>
      <c r="G9" s="98"/>
      <c r="H9" s="98" t="s">
        <v>248</v>
      </c>
      <c r="I9" s="241">
        <v>194525.0</v>
      </c>
      <c r="J9" s="98" t="s">
        <v>249</v>
      </c>
    </row>
    <row r="10">
      <c r="B10" s="242" t="s">
        <v>98</v>
      </c>
      <c r="C10" s="243">
        <v>364458.0</v>
      </c>
      <c r="D10" s="79"/>
      <c r="E10" s="79" t="s">
        <v>250</v>
      </c>
      <c r="F10" s="241">
        <v>0.11436</v>
      </c>
      <c r="G10" s="98"/>
      <c r="H10" s="98" t="s">
        <v>251</v>
      </c>
      <c r="I10" s="241">
        <v>486287.0</v>
      </c>
      <c r="J10" s="98" t="s">
        <v>252</v>
      </c>
    </row>
    <row r="11">
      <c r="B11" s="242" t="s">
        <v>113</v>
      </c>
      <c r="C11" s="243">
        <v>993773.0</v>
      </c>
      <c r="D11" s="79"/>
      <c r="E11" s="79" t="s">
        <v>63</v>
      </c>
      <c r="F11" s="241">
        <v>441110.0</v>
      </c>
      <c r="G11" s="98"/>
      <c r="H11" s="98" t="s">
        <v>253</v>
      </c>
      <c r="I11" s="241">
        <v>79332.0</v>
      </c>
      <c r="J11" s="98"/>
    </row>
    <row r="12">
      <c r="B12" s="242" t="s">
        <v>100</v>
      </c>
      <c r="C12" s="243">
        <v>544084.0</v>
      </c>
      <c r="D12" s="79"/>
      <c r="E12" s="79" t="s">
        <v>45</v>
      </c>
      <c r="F12" s="241">
        <v>930336.0</v>
      </c>
      <c r="G12" s="98"/>
      <c r="H12" s="98"/>
      <c r="I12" s="98"/>
      <c r="J12" s="98"/>
    </row>
    <row r="13">
      <c r="B13" s="79" t="s">
        <v>118</v>
      </c>
      <c r="C13" s="244">
        <v>885634.0</v>
      </c>
      <c r="D13" s="79"/>
      <c r="E13" s="79" t="s">
        <v>254</v>
      </c>
      <c r="F13" s="241">
        <v>984061.0</v>
      </c>
      <c r="G13" s="98"/>
      <c r="H13" s="98"/>
      <c r="I13" s="98"/>
      <c r="J13" s="98"/>
    </row>
    <row r="14">
      <c r="B14" s="79" t="s">
        <v>255</v>
      </c>
      <c r="C14" s="244">
        <v>328237.0</v>
      </c>
      <c r="D14" s="79"/>
      <c r="E14" s="79" t="s">
        <v>68</v>
      </c>
      <c r="F14" s="241">
        <v>183954.0</v>
      </c>
      <c r="G14" s="98"/>
      <c r="H14" s="98"/>
      <c r="I14" s="98"/>
      <c r="J14" s="98"/>
    </row>
    <row r="15">
      <c r="B15" s="242" t="s">
        <v>54</v>
      </c>
      <c r="C15" s="243">
        <v>608858.0</v>
      </c>
      <c r="D15" s="79"/>
      <c r="E15" s="79" t="s">
        <v>256</v>
      </c>
      <c r="F15" s="241">
        <v>262768.0</v>
      </c>
      <c r="G15" s="98"/>
      <c r="H15" s="98"/>
      <c r="I15" s="98"/>
      <c r="J15" s="98"/>
    </row>
    <row r="16">
      <c r="B16" s="98" t="s">
        <v>150</v>
      </c>
      <c r="C16" s="241">
        <v>853593.0</v>
      </c>
      <c r="D16" s="79"/>
      <c r="E16" s="79" t="s">
        <v>72</v>
      </c>
      <c r="F16" s="241">
        <v>190077.0</v>
      </c>
      <c r="G16" s="98"/>
      <c r="H16" s="98"/>
      <c r="I16" s="98"/>
      <c r="J16" s="98"/>
    </row>
    <row r="17">
      <c r="B17" s="79" t="s">
        <v>257</v>
      </c>
      <c r="C17" s="244">
        <v>140928.0</v>
      </c>
      <c r="D17" s="79"/>
      <c r="E17" s="79" t="s">
        <v>82</v>
      </c>
      <c r="F17" s="241">
        <v>765827.0</v>
      </c>
      <c r="G17" s="98"/>
      <c r="H17" s="98"/>
      <c r="I17" s="98"/>
      <c r="J17" s="98"/>
    </row>
    <row r="18">
      <c r="B18" s="98" t="s">
        <v>125</v>
      </c>
      <c r="C18" s="241">
        <v>175984.0</v>
      </c>
      <c r="D18" s="79"/>
      <c r="E18" s="79" t="s">
        <v>94</v>
      </c>
      <c r="F18" s="241">
        <v>497652.0</v>
      </c>
      <c r="G18" s="98"/>
      <c r="H18" s="98"/>
      <c r="I18" s="98"/>
      <c r="J18" s="98"/>
    </row>
    <row r="19">
      <c r="B19" s="242" t="s">
        <v>66</v>
      </c>
      <c r="C19" s="243">
        <v>562243.0</v>
      </c>
      <c r="D19" s="79"/>
      <c r="E19" s="79" t="s">
        <v>170</v>
      </c>
      <c r="F19" s="241">
        <v>198592.0</v>
      </c>
      <c r="G19" s="98"/>
      <c r="H19" s="98"/>
      <c r="I19" s="98"/>
      <c r="J19" s="98"/>
    </row>
    <row r="20">
      <c r="B20" s="98" t="s">
        <v>258</v>
      </c>
      <c r="C20" s="241">
        <v>162549.0</v>
      </c>
      <c r="D20" s="79"/>
      <c r="E20" s="79" t="s">
        <v>259</v>
      </c>
      <c r="F20" s="241">
        <v>684275.0</v>
      </c>
      <c r="G20" s="98"/>
      <c r="H20" s="98"/>
      <c r="I20" s="98"/>
      <c r="J20" s="98"/>
    </row>
    <row r="21">
      <c r="B21" s="98" t="s">
        <v>86</v>
      </c>
      <c r="C21" s="241">
        <v>635544.0</v>
      </c>
      <c r="D21" s="79"/>
      <c r="E21" s="242" t="s">
        <v>260</v>
      </c>
      <c r="F21" s="243">
        <v>227562.0</v>
      </c>
      <c r="G21" s="98"/>
      <c r="H21" s="98"/>
      <c r="I21" s="98"/>
      <c r="J21" s="98"/>
    </row>
    <row r="22">
      <c r="B22" s="98" t="s">
        <v>256</v>
      </c>
      <c r="C22" s="241">
        <v>318886.0</v>
      </c>
      <c r="D22" s="79"/>
      <c r="E22" s="242" t="s">
        <v>54</v>
      </c>
      <c r="F22" s="243">
        <v>608858.0</v>
      </c>
      <c r="G22" s="98"/>
      <c r="H22" s="98"/>
      <c r="I22" s="98"/>
      <c r="J22" s="98"/>
    </row>
    <row r="23">
      <c r="B23" s="242" t="s">
        <v>260</v>
      </c>
      <c r="C23" s="243">
        <v>227562.0</v>
      </c>
      <c r="D23" s="79"/>
      <c r="E23" s="79" t="s">
        <v>50</v>
      </c>
      <c r="F23" s="241">
        <v>349021.0</v>
      </c>
      <c r="G23" s="98"/>
      <c r="H23" s="98"/>
      <c r="I23" s="98"/>
      <c r="J23" s="98"/>
    </row>
    <row r="24">
      <c r="B24" s="98" t="s">
        <v>261</v>
      </c>
      <c r="C24" s="241">
        <v>507672.0</v>
      </c>
      <c r="D24" s="79"/>
      <c r="E24" s="242" t="s">
        <v>123</v>
      </c>
      <c r="F24" s="243">
        <v>182226.0</v>
      </c>
      <c r="G24" s="98"/>
      <c r="H24" s="98"/>
      <c r="I24" s="98"/>
      <c r="J24" s="98"/>
    </row>
    <row r="25">
      <c r="B25" s="98" t="s">
        <v>92</v>
      </c>
      <c r="C25" s="241">
        <v>893489.0</v>
      </c>
      <c r="D25" s="79"/>
      <c r="E25" s="242" t="s">
        <v>113</v>
      </c>
      <c r="F25" s="243">
        <v>993773.0</v>
      </c>
      <c r="G25" s="98"/>
      <c r="H25" s="98"/>
      <c r="I25" s="98"/>
      <c r="J25" s="98"/>
    </row>
    <row r="26">
      <c r="B26" s="242" t="s">
        <v>61</v>
      </c>
      <c r="C26" s="243">
        <v>373322.0</v>
      </c>
      <c r="D26" s="79"/>
      <c r="E26" s="242" t="s">
        <v>237</v>
      </c>
      <c r="F26" s="243">
        <v>536771.0</v>
      </c>
      <c r="G26" s="98"/>
      <c r="H26" s="98"/>
      <c r="I26" s="98"/>
      <c r="J26" s="98"/>
    </row>
    <row r="27">
      <c r="B27" s="98" t="s">
        <v>250</v>
      </c>
      <c r="C27" s="241">
        <v>840622.0</v>
      </c>
      <c r="D27" s="79"/>
      <c r="E27" s="242" t="s">
        <v>66</v>
      </c>
      <c r="F27" s="243">
        <v>562243.0</v>
      </c>
      <c r="G27" s="98"/>
      <c r="H27" s="98"/>
      <c r="I27" s="98"/>
      <c r="J27" s="98"/>
    </row>
    <row r="28">
      <c r="B28" s="98" t="s">
        <v>262</v>
      </c>
      <c r="C28" s="241">
        <v>448330.0</v>
      </c>
      <c r="D28" s="79"/>
      <c r="E28" s="242" t="s">
        <v>100</v>
      </c>
      <c r="F28" s="243">
        <v>544084.0</v>
      </c>
      <c r="G28" s="98"/>
      <c r="H28" s="98"/>
      <c r="I28" s="98"/>
      <c r="J28" s="98"/>
    </row>
    <row r="29">
      <c r="B29" s="98" t="s">
        <v>263</v>
      </c>
      <c r="C29" s="241">
        <v>289494.0</v>
      </c>
      <c r="D29" s="79"/>
      <c r="E29" s="242" t="s">
        <v>98</v>
      </c>
      <c r="F29" s="243">
        <v>364458.0</v>
      </c>
      <c r="G29" s="98"/>
      <c r="H29" s="98"/>
      <c r="I29" s="98"/>
      <c r="J29" s="98"/>
    </row>
    <row r="30">
      <c r="B30" s="98"/>
      <c r="C30" s="98"/>
      <c r="D30" s="79"/>
      <c r="E30" s="98" t="s">
        <v>118</v>
      </c>
      <c r="F30" s="241">
        <v>885634.0</v>
      </c>
      <c r="G30" s="98"/>
      <c r="H30" s="98"/>
      <c r="I30" s="98"/>
      <c r="J30" s="98"/>
    </row>
    <row r="31">
      <c r="B31" s="98" t="s">
        <v>264</v>
      </c>
      <c r="C31" s="98"/>
      <c r="D31" s="79"/>
      <c r="E31" s="245" t="s">
        <v>60</v>
      </c>
      <c r="F31" s="246">
        <v>642004.0</v>
      </c>
      <c r="G31" s="98"/>
      <c r="H31" s="98"/>
      <c r="I31" s="98"/>
      <c r="J31" s="98"/>
    </row>
    <row r="32">
      <c r="B32" s="98"/>
      <c r="C32" s="98"/>
      <c r="D32" s="79"/>
      <c r="E32" s="242" t="s">
        <v>61</v>
      </c>
      <c r="F32" s="243">
        <v>373322.0</v>
      </c>
      <c r="G32" s="98"/>
      <c r="H32" s="98"/>
      <c r="I32" s="98"/>
      <c r="J32" s="98"/>
    </row>
    <row r="33">
      <c r="B33" s="98"/>
      <c r="C33" s="98"/>
      <c r="D33" s="98"/>
      <c r="E33" s="98" t="s">
        <v>264</v>
      </c>
      <c r="F33" s="241">
        <v>840622.0</v>
      </c>
      <c r="G33" s="98"/>
      <c r="H33" s="98"/>
      <c r="I33" s="98"/>
      <c r="J33" s="98"/>
    </row>
    <row r="34">
      <c r="B34" s="98"/>
      <c r="C34" s="98"/>
      <c r="D34" s="98"/>
      <c r="E34" s="98" t="s">
        <v>265</v>
      </c>
      <c r="F34" s="241">
        <v>448330.0</v>
      </c>
      <c r="G34" s="98"/>
      <c r="H34" s="98"/>
      <c r="I34" s="98"/>
      <c r="J34" s="98"/>
    </row>
    <row r="35">
      <c r="B35" s="98" t="s">
        <v>266</v>
      </c>
      <c r="C35" s="241">
        <v>534337.0</v>
      </c>
      <c r="D35" s="98"/>
      <c r="E35" s="98" t="s">
        <v>267</v>
      </c>
      <c r="F35" s="241">
        <v>853593.0</v>
      </c>
      <c r="G35" s="98"/>
      <c r="H35" s="98"/>
      <c r="I35" s="98"/>
      <c r="J35" s="98"/>
    </row>
    <row r="36">
      <c r="B36" s="98" t="s">
        <v>268</v>
      </c>
      <c r="C36" s="241">
        <v>581270.0</v>
      </c>
      <c r="D36" s="98"/>
      <c r="E36" s="98" t="s">
        <v>263</v>
      </c>
      <c r="F36" s="241">
        <v>289494.0</v>
      </c>
      <c r="G36" s="98"/>
      <c r="H36" s="98"/>
      <c r="I36" s="98"/>
      <c r="J36" s="98"/>
    </row>
    <row r="37">
      <c r="B37" s="98" t="s">
        <v>269</v>
      </c>
      <c r="C37" s="241">
        <v>0.59369</v>
      </c>
      <c r="D37" s="98"/>
      <c r="E37" s="98" t="s">
        <v>86</v>
      </c>
      <c r="F37" s="98"/>
      <c r="G37" s="98"/>
      <c r="H37" s="98"/>
      <c r="I37" s="98"/>
      <c r="J37" s="98"/>
    </row>
    <row r="38">
      <c r="B38" s="98" t="s">
        <v>270</v>
      </c>
      <c r="C38" s="236">
        <v>0.01576</v>
      </c>
      <c r="D38" s="98"/>
      <c r="E38" s="98"/>
      <c r="F38" s="98"/>
      <c r="G38" s="98"/>
      <c r="H38" s="98"/>
      <c r="I38" s="98"/>
      <c r="J38" s="98"/>
    </row>
    <row r="41">
      <c r="B41" s="34" t="s">
        <v>271</v>
      </c>
      <c r="C41" s="241">
        <v>645556.0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34" t="s">
        <v>272</v>
      </c>
      <c r="D5" s="34" t="s">
        <v>273</v>
      </c>
      <c r="G5" s="34" t="s">
        <v>274</v>
      </c>
      <c r="H5" s="34" t="s">
        <v>275</v>
      </c>
      <c r="I5" s="34" t="s">
        <v>276</v>
      </c>
      <c r="J5" s="34" t="s">
        <v>277</v>
      </c>
    </row>
    <row r="6">
      <c r="B6" s="34" t="s">
        <v>278</v>
      </c>
      <c r="D6" s="34" t="s">
        <v>279</v>
      </c>
      <c r="I6" s="34" t="s">
        <v>280</v>
      </c>
    </row>
    <row r="7">
      <c r="I7" s="34" t="s">
        <v>281</v>
      </c>
    </row>
    <row r="9">
      <c r="B9" s="34" t="s">
        <v>282</v>
      </c>
      <c r="D9" s="34" t="s">
        <v>283</v>
      </c>
      <c r="I9" s="34" t="s">
        <v>280</v>
      </c>
    </row>
    <row r="10">
      <c r="I10" s="34" t="s">
        <v>281</v>
      </c>
    </row>
    <row r="12">
      <c r="B12" s="34" t="s">
        <v>284</v>
      </c>
      <c r="D12" s="34" t="s">
        <v>285</v>
      </c>
    </row>
    <row r="15">
      <c r="B15" s="34" t="s">
        <v>286</v>
      </c>
      <c r="D15" s="34" t="s">
        <v>287</v>
      </c>
    </row>
    <row r="18">
      <c r="B18" s="34" t="s">
        <v>34</v>
      </c>
      <c r="D18" s="34" t="s">
        <v>288</v>
      </c>
      <c r="H18" s="34" t="s">
        <v>289</v>
      </c>
      <c r="I18" s="34" t="s">
        <v>280</v>
      </c>
    </row>
    <row r="19">
      <c r="D19" s="34" t="s">
        <v>290</v>
      </c>
      <c r="H19" s="34" t="s">
        <v>291</v>
      </c>
      <c r="I19" s="34" t="s">
        <v>281</v>
      </c>
    </row>
    <row r="21">
      <c r="B21" s="34" t="s">
        <v>43</v>
      </c>
      <c r="D21" s="34" t="s">
        <v>288</v>
      </c>
      <c r="I21" s="34" t="s">
        <v>292</v>
      </c>
    </row>
    <row r="22">
      <c r="D22" s="34" t="s">
        <v>293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2018-06-07T09:38:01Z</dcterms:created>
  <dc:creator>Kobayashi Keiko</dc:creator>
</cp:coreProperties>
</file>